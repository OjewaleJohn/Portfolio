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Dell\Documents\lear n\Data Analysis Excel\project\done project\Amazon Financial Dataset\"/>
    </mc:Choice>
  </mc:AlternateContent>
  <xr:revisionPtr revIDLastSave="0" documentId="13_ncr:1_{8B667EAD-5790-4CF5-947F-1C7321331E43}" xr6:coauthVersionLast="47" xr6:coauthVersionMax="47" xr10:uidLastSave="{00000000-0000-0000-0000-000000000000}"/>
  <bookViews>
    <workbookView xWindow="-108" yWindow="-108" windowWidth="23256" windowHeight="13176" activeTab="3" xr2:uid="{00000000-000D-0000-FFFF-FFFF00000000}"/>
  </bookViews>
  <sheets>
    <sheet name="Sheet1" sheetId="1" r:id="rId1"/>
    <sheet name="Pivot" sheetId="2" r:id="rId2"/>
    <sheet name="Dashboard" sheetId="3" r:id="rId3"/>
    <sheet name="Pivot 2" sheetId="4" r:id="rId4"/>
    <sheet name="Dashboard 2" sheetId="5" r:id="rId5"/>
  </sheets>
  <definedNames>
    <definedName name="Slicer_State1">#N/A</definedName>
  </definedNames>
  <calcPr calcId="191029"/>
  <pivotCaches>
    <pivotCache cacheId="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28" i="1"/>
  <c r="L42" i="1"/>
  <c r="L9" i="1"/>
  <c r="L21" i="1"/>
  <c r="L34" i="1"/>
  <c r="L15" i="1"/>
  <c r="L35" i="1"/>
  <c r="L22" i="1"/>
  <c r="L36" i="1"/>
  <c r="L23" i="1"/>
  <c r="L43" i="1"/>
  <c r="L24" i="1"/>
  <c r="L44" i="1"/>
  <c r="L46" i="1"/>
  <c r="L37" i="1"/>
  <c r="L45" i="1"/>
  <c r="L47" i="1"/>
  <c r="L3" i="1"/>
  <c r="L16" i="1"/>
  <c r="L48" i="1"/>
  <c r="L4" i="1"/>
  <c r="L17" i="1"/>
  <c r="L29" i="1"/>
  <c r="L25" i="1"/>
  <c r="L18" i="1"/>
  <c r="L10" i="1"/>
  <c r="L38" i="1"/>
  <c r="L30" i="1"/>
  <c r="L11" i="1"/>
  <c r="L12" i="1"/>
  <c r="L13" i="1"/>
  <c r="L39" i="1"/>
  <c r="L19" i="1"/>
  <c r="L26" i="1"/>
  <c r="L49" i="1"/>
  <c r="L5" i="1"/>
  <c r="L40" i="1"/>
  <c r="L6" i="1"/>
  <c r="L7" i="1"/>
  <c r="L8" i="1"/>
  <c r="L31" i="1"/>
  <c r="L50" i="1"/>
  <c r="L32" i="1"/>
  <c r="L27" i="1"/>
  <c r="L20" i="1"/>
  <c r="L41" i="1"/>
  <c r="L33" i="1"/>
  <c r="L14" i="1"/>
  <c r="L51" i="1"/>
  <c r="K31" i="1"/>
  <c r="K51" i="1"/>
  <c r="K5" i="1"/>
  <c r="K32" i="1"/>
  <c r="K22" i="1"/>
  <c r="K18" i="1"/>
  <c r="K19" i="1"/>
  <c r="K44" i="1"/>
  <c r="K17" i="1"/>
  <c r="K37" i="1"/>
  <c r="K23" i="1"/>
  <c r="K11" i="1"/>
  <c r="K47" i="1"/>
  <c r="K40" i="1"/>
  <c r="K41" i="1"/>
  <c r="K28" i="1"/>
  <c r="K38" i="1"/>
  <c r="K48" i="1"/>
  <c r="K7" i="1"/>
  <c r="K34" i="1"/>
  <c r="K16" i="1"/>
  <c r="K9" i="1"/>
  <c r="K26" i="1"/>
  <c r="K15" i="1"/>
  <c r="K50" i="1"/>
  <c r="K33" i="1"/>
  <c r="K29" i="1"/>
  <c r="K35" i="1"/>
  <c r="K21" i="1"/>
  <c r="K36" i="1"/>
  <c r="K2" i="1"/>
  <c r="K45" i="1"/>
  <c r="K4" i="1"/>
  <c r="K46" i="1"/>
  <c r="K25" i="1"/>
  <c r="K24" i="1"/>
  <c r="K13" i="1"/>
  <c r="K42" i="1"/>
  <c r="K6" i="1"/>
  <c r="K10" i="1"/>
  <c r="K43" i="1"/>
  <c r="K20" i="1"/>
  <c r="K39" i="1"/>
  <c r="K12" i="1"/>
  <c r="K27" i="1"/>
  <c r="K49" i="1"/>
  <c r="K14" i="1"/>
  <c r="K8" i="1"/>
  <c r="K3" i="1"/>
  <c r="K30" i="1"/>
  <c r="J31" i="1"/>
  <c r="J51" i="1"/>
  <c r="J5" i="1"/>
  <c r="J32" i="1"/>
  <c r="J22" i="1"/>
  <c r="J18" i="1"/>
  <c r="J19" i="1"/>
  <c r="J44" i="1"/>
  <c r="J17" i="1"/>
  <c r="J37" i="1"/>
  <c r="J23" i="1"/>
  <c r="J11" i="1"/>
  <c r="J47" i="1"/>
  <c r="J40" i="1"/>
  <c r="J41" i="1"/>
  <c r="J28" i="1"/>
  <c r="J38" i="1"/>
  <c r="J48" i="1"/>
  <c r="J7" i="1"/>
  <c r="J34" i="1"/>
  <c r="J16" i="1"/>
  <c r="J9" i="1"/>
  <c r="J26" i="1"/>
  <c r="J15" i="1"/>
  <c r="J50" i="1"/>
  <c r="J33" i="1"/>
  <c r="J29" i="1"/>
  <c r="J35" i="1"/>
  <c r="J21" i="1"/>
  <c r="J36" i="1"/>
  <c r="J2" i="1"/>
  <c r="J45" i="1"/>
  <c r="J4" i="1"/>
  <c r="J46" i="1"/>
  <c r="J25" i="1"/>
  <c r="J24" i="1"/>
  <c r="J13" i="1"/>
  <c r="J42" i="1"/>
  <c r="J6" i="1"/>
  <c r="J10" i="1"/>
  <c r="J43" i="1"/>
  <c r="J20" i="1"/>
  <c r="J39" i="1"/>
  <c r="J12" i="1"/>
  <c r="J27" i="1"/>
  <c r="J49" i="1"/>
  <c r="J14" i="1"/>
  <c r="J8" i="1"/>
  <c r="J3" i="1"/>
  <c r="J30" i="1"/>
  <c r="H31" i="1"/>
  <c r="I31" i="1"/>
  <c r="H51" i="1"/>
  <c r="I51" i="1"/>
  <c r="H5" i="1"/>
  <c r="I5" i="1"/>
  <c r="H32" i="1"/>
  <c r="I32" i="1"/>
  <c r="H22" i="1"/>
  <c r="I22" i="1"/>
  <c r="H18" i="1"/>
  <c r="I18" i="1"/>
  <c r="H19" i="1"/>
  <c r="I19" i="1"/>
  <c r="H44" i="1"/>
  <c r="I44" i="1"/>
  <c r="H17" i="1"/>
  <c r="I17" i="1"/>
  <c r="H37" i="1"/>
  <c r="I37" i="1"/>
  <c r="H23" i="1"/>
  <c r="I23" i="1"/>
  <c r="H11" i="1"/>
  <c r="I11" i="1"/>
  <c r="H47" i="1"/>
  <c r="I47" i="1"/>
  <c r="H40" i="1"/>
  <c r="I40" i="1"/>
  <c r="H41" i="1"/>
  <c r="I41" i="1"/>
  <c r="H28" i="1"/>
  <c r="I28" i="1"/>
  <c r="H38" i="1"/>
  <c r="I38" i="1"/>
  <c r="H48" i="1"/>
  <c r="I48" i="1"/>
  <c r="H7" i="1"/>
  <c r="I7" i="1"/>
  <c r="H34" i="1"/>
  <c r="I34" i="1"/>
  <c r="H16" i="1"/>
  <c r="I16" i="1"/>
  <c r="H9" i="1"/>
  <c r="I9" i="1"/>
  <c r="H26" i="1"/>
  <c r="I26" i="1"/>
  <c r="H15" i="1"/>
  <c r="I15" i="1"/>
  <c r="H50" i="1"/>
  <c r="I50" i="1"/>
  <c r="H33" i="1"/>
  <c r="I33" i="1"/>
  <c r="H29" i="1"/>
  <c r="I29" i="1"/>
  <c r="H35" i="1"/>
  <c r="I35" i="1"/>
  <c r="H21" i="1"/>
  <c r="I21" i="1"/>
  <c r="H36" i="1"/>
  <c r="I36" i="1"/>
  <c r="H2" i="1"/>
  <c r="I2" i="1"/>
  <c r="H45" i="1"/>
  <c r="I45" i="1"/>
  <c r="H4" i="1"/>
  <c r="I4" i="1"/>
  <c r="H46" i="1"/>
  <c r="I46" i="1"/>
  <c r="H25" i="1"/>
  <c r="I25" i="1"/>
  <c r="H24" i="1"/>
  <c r="I24" i="1"/>
  <c r="H13" i="1"/>
  <c r="I13" i="1"/>
  <c r="H42" i="1"/>
  <c r="I42" i="1"/>
  <c r="H6" i="1"/>
  <c r="I6" i="1"/>
  <c r="H10" i="1"/>
  <c r="I10" i="1"/>
  <c r="H43" i="1"/>
  <c r="I43" i="1"/>
  <c r="H20" i="1"/>
  <c r="I20" i="1"/>
  <c r="H39" i="1"/>
  <c r="I39" i="1"/>
  <c r="H12" i="1"/>
  <c r="I12" i="1"/>
  <c r="H27" i="1"/>
  <c r="I27" i="1"/>
  <c r="H49" i="1"/>
  <c r="I49" i="1"/>
  <c r="H14" i="1"/>
  <c r="I14" i="1"/>
  <c r="H8" i="1"/>
  <c r="I8" i="1"/>
  <c r="H3" i="1"/>
  <c r="I3" i="1"/>
  <c r="H30" i="1"/>
  <c r="I30" i="1"/>
</calcChain>
</file>

<file path=xl/sharedStrings.xml><?xml version="1.0" encoding="utf-8"?>
<sst xmlns="http://schemas.openxmlformats.org/spreadsheetml/2006/main" count="346" uniqueCount="71">
  <si>
    <t>State</t>
  </si>
  <si>
    <t>R&amp;D Amount (in $)</t>
  </si>
  <si>
    <t>Marketing Amount (in $)</t>
  </si>
  <si>
    <t>Campaigns (Count)</t>
  </si>
  <si>
    <t>Profit (in $)</t>
  </si>
  <si>
    <t>Employee Count</t>
  </si>
  <si>
    <t>Product Count</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</si>
  <si>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</si>
  <si>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</si>
  <si>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</si>
  <si>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</si>
  <si>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</si>
  <si>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</si>
  <si>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</si>
  <si>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</si>
  <si>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</si>
  <si>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</si>
  <si>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</si>
  <si>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</si>
  <si>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</si>
  <si>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</si>
  <si>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</si>
  <si>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</si>
  <si>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</si>
  <si>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</si>
  <si>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</si>
  <si>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</si>
  <si>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</si>
  <si>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</si>
  <si>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</si>
  <si>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</si>
  <si>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</si>
  <si>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</si>
  <si>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</si>
  <si>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</si>
  <si>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</si>
  <si>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</si>
  <si>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</si>
  <si>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</si>
  <si>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</si>
  <si>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</si>
  <si>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</si>
  <si>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</si>
  <si>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</si>
  <si>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</si>
  <si>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</si>
  <si>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</si>
  <si>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</si>
  <si>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</si>
  <si>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</si>
  <si>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</si>
  <si>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</si>
  <si>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</si>
  <si>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</si>
  <si>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</si>
  <si>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</si>
  <si>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</si>
  <si>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Grand Total</t>
  </si>
  <si>
    <t>Row Labels</t>
  </si>
  <si>
    <t>Sum of R&amp;D Amount (in $)</t>
  </si>
  <si>
    <t>Sum of Marketing Amount (in $)</t>
  </si>
  <si>
    <t>Profit Margin</t>
  </si>
  <si>
    <t>Profit per Employee</t>
  </si>
  <si>
    <t>Sum of Profit (in $)</t>
  </si>
  <si>
    <t>(Multiple Items)</t>
  </si>
  <si>
    <t>Sum of Profit Margin</t>
  </si>
  <si>
    <t>Sum of Profit per Employee</t>
  </si>
  <si>
    <t>Marketing ROI</t>
  </si>
  <si>
    <t>R&amp;D ROI</t>
  </si>
  <si>
    <t>RD ROI</t>
  </si>
  <si>
    <t>Profit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</si>
</sst>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
    <numFmt numFmtId="165" formatCode="_-[$$-409]* #,##0.00_ ;_-[$$-409]* \-#,##0.00\ ;_-[$$-409]* &quot;-&quot;??_ ;_-@_ "/>
    <numFmt numFmtId="166" formatCode="_-[$$-409]* #,##0.0_ ;_-[$$-409]* \-#,##0.0\ ;_-[$$-409]* &quot;-&quot;??_ ;_-@_ "/>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9" fontId="0" fillId="0" borderId="0" xfId="2" applyFont="1"/>
    <xf numFmtId="0" fontId="0" fillId="2" borderId="0" xfId="0" applyFill="1"/>
    <xf numFmtId="9" fontId="0" fillId="0" borderId="0" xfId="0" applyNumberFormat="1"/>
    <xf numFmtId="165" fontId="1" fillId="0" borderId="1" xfId="0" applyNumberFormat="1" applyFont="1" applyBorder="1" applyAlignment="1">
      <alignment horizontal="center" vertical="top"/>
    </xf>
    <xf numFmtId="165" fontId="0" fillId="0" borderId="0" xfId="0" applyNumberFormat="1"/>
    <xf numFmtId="165" fontId="1" fillId="0" borderId="1" xfId="1" applyNumberFormat="1" applyFont="1" applyBorder="1" applyAlignment="1">
      <alignment horizontal="center" vertical="top"/>
    </xf>
    <xf numFmtId="165" fontId="0" fillId="0" borderId="0" xfId="1" applyNumberFormat="1" applyFont="1"/>
    <xf numFmtId="166" fontId="0" fillId="0" borderId="0" xfId="0" applyNumberFormat="1"/>
  </cellXfs>
  <cellStyles count="3">
    <cellStyle name="Currency" xfId="1" builtinId="4"/>
    <cellStyle name="Normal" xfId="0" builtinId="0"/>
    <cellStyle name="Percent" xfId="2" builtinId="5"/>
  </cellStyles>
  <dxfs count="11">
    <dxf>
      <font>
        <color rgb="FF9C5700"/>
      </font>
      <fill>
        <patternFill>
          <bgColor rgb="FFFFEB9C"/>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00FF"/>
      <color rgb="FF86EFFF"/>
      <color rgb="FFB6F1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 Dataset.xlsx]Pivot!PivotTable4</c:name>
    <c:fmtId val="8"/>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de-DE" sz="1400" b="0" i="0" u="none" strike="noStrike" baseline="0"/>
              <a:t>Profit vs Marketing Spend by State</a:t>
            </a:r>
            <a:endParaRPr lang="de-DE"/>
          </a:p>
        </c:rich>
      </c:tx>
      <c:layout>
        <c:manualLayout>
          <c:xMode val="edge"/>
          <c:yMode val="edge"/>
          <c:x val="0.28221079507918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73081936186549"/>
          <c:y val="0.11890353593441269"/>
          <c:w val="0.70949309907690106"/>
          <c:h val="0.79589858149753756"/>
        </c:manualLayout>
      </c:layout>
      <c:barChart>
        <c:barDir val="bar"/>
        <c:grouping val="clustered"/>
        <c:varyColors val="0"/>
        <c:ser>
          <c:idx val="0"/>
          <c:order val="0"/>
          <c:tx>
            <c:strRef>
              <c:f>Pivot!$K$2</c:f>
              <c:strCache>
                <c:ptCount val="1"/>
                <c:pt idx="0">
                  <c:v>Sum of Marketing Amount (in $)</c:v>
                </c:pt>
              </c:strCache>
            </c:strRef>
          </c:tx>
          <c:spPr>
            <a:solidFill>
              <a:schemeClr val="accent1"/>
            </a:solidFill>
            <a:ln>
              <a:noFill/>
            </a:ln>
            <a:effectLst/>
          </c:spPr>
          <c:invertIfNegative val="0"/>
          <c:cat>
            <c:strRef>
              <c:f>Pivot!$J$3:$J$52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Pivot!$K$3:$K$52</c:f>
              <c:numCache>
                <c:formatCode>General</c:formatCode>
                <c:ptCount val="50"/>
                <c:pt idx="0">
                  <c:v>96524</c:v>
                </c:pt>
                <c:pt idx="1">
                  <c:v>132932</c:v>
                </c:pt>
                <c:pt idx="2">
                  <c:v>116187</c:v>
                </c:pt>
                <c:pt idx="3">
                  <c:v>107298</c:v>
                </c:pt>
                <c:pt idx="4">
                  <c:v>82274</c:v>
                </c:pt>
                <c:pt idx="5">
                  <c:v>84320</c:v>
                </c:pt>
                <c:pt idx="6">
                  <c:v>96308</c:v>
                </c:pt>
                <c:pt idx="7">
                  <c:v>110750</c:v>
                </c:pt>
                <c:pt idx="8">
                  <c:v>105895</c:v>
                </c:pt>
                <c:pt idx="9">
                  <c:v>76594</c:v>
                </c:pt>
                <c:pt idx="10">
                  <c:v>102390</c:v>
                </c:pt>
                <c:pt idx="11">
                  <c:v>145281</c:v>
                </c:pt>
                <c:pt idx="12">
                  <c:v>137840</c:v>
                </c:pt>
                <c:pt idx="13">
                  <c:v>128133</c:v>
                </c:pt>
                <c:pt idx="14">
                  <c:v>148705</c:v>
                </c:pt>
                <c:pt idx="15">
                  <c:v>92792</c:v>
                </c:pt>
                <c:pt idx="16">
                  <c:v>86595</c:v>
                </c:pt>
                <c:pt idx="17">
                  <c:v>147747</c:v>
                </c:pt>
                <c:pt idx="18">
                  <c:v>78439</c:v>
                </c:pt>
                <c:pt idx="19">
                  <c:v>94117</c:v>
                </c:pt>
                <c:pt idx="20">
                  <c:v>127620</c:v>
                </c:pt>
                <c:pt idx="21">
                  <c:v>98681</c:v>
                </c:pt>
                <c:pt idx="22">
                  <c:v>132070</c:v>
                </c:pt>
                <c:pt idx="23">
                  <c:v>128081</c:v>
                </c:pt>
                <c:pt idx="24">
                  <c:v>135068</c:v>
                </c:pt>
                <c:pt idx="25">
                  <c:v>144184</c:v>
                </c:pt>
                <c:pt idx="26">
                  <c:v>82893</c:v>
                </c:pt>
                <c:pt idx="27">
                  <c:v>111277</c:v>
                </c:pt>
                <c:pt idx="28">
                  <c:v>77822</c:v>
                </c:pt>
                <c:pt idx="29">
                  <c:v>116212</c:v>
                </c:pt>
                <c:pt idx="30">
                  <c:v>99732</c:v>
                </c:pt>
                <c:pt idx="31">
                  <c:v>131989</c:v>
                </c:pt>
                <c:pt idx="32">
                  <c:v>101280</c:v>
                </c:pt>
                <c:pt idx="33">
                  <c:v>88375</c:v>
                </c:pt>
                <c:pt idx="34">
                  <c:v>130277</c:v>
                </c:pt>
                <c:pt idx="35">
                  <c:v>98088</c:v>
                </c:pt>
                <c:pt idx="36">
                  <c:v>131500</c:v>
                </c:pt>
                <c:pt idx="37">
                  <c:v>70099</c:v>
                </c:pt>
                <c:pt idx="38">
                  <c:v>115248</c:v>
                </c:pt>
                <c:pt idx="39">
                  <c:v>122484</c:v>
                </c:pt>
                <c:pt idx="40">
                  <c:v>80154</c:v>
                </c:pt>
                <c:pt idx="41">
                  <c:v>142188</c:v>
                </c:pt>
                <c:pt idx="42">
                  <c:v>145486</c:v>
                </c:pt>
                <c:pt idx="43">
                  <c:v>110703</c:v>
                </c:pt>
                <c:pt idx="44">
                  <c:v>129002</c:v>
                </c:pt>
                <c:pt idx="45">
                  <c:v>100750</c:v>
                </c:pt>
                <c:pt idx="46">
                  <c:v>90210</c:v>
                </c:pt>
                <c:pt idx="47">
                  <c:v>111527</c:v>
                </c:pt>
                <c:pt idx="48">
                  <c:v>98312</c:v>
                </c:pt>
                <c:pt idx="49">
                  <c:v>127309</c:v>
                </c:pt>
              </c:numCache>
            </c:numRef>
          </c:val>
          <c:extLst>
            <c:ext xmlns:c16="http://schemas.microsoft.com/office/drawing/2014/chart" uri="{C3380CC4-5D6E-409C-BE32-E72D297353CC}">
              <c16:uniqueId val="{00000000-D1B7-4840-A40E-A3B74A986DAA}"/>
            </c:ext>
          </c:extLst>
        </c:ser>
        <c:ser>
          <c:idx val="1"/>
          <c:order val="1"/>
          <c:tx>
            <c:strRef>
              <c:f>Pivot!$L$2</c:f>
              <c:strCache>
                <c:ptCount val="1"/>
                <c:pt idx="0">
                  <c:v>Sum of Profit (in $)</c:v>
                </c:pt>
              </c:strCache>
            </c:strRef>
          </c:tx>
          <c:spPr>
            <a:solidFill>
              <a:schemeClr val="accent2"/>
            </a:solidFill>
            <a:ln>
              <a:noFill/>
            </a:ln>
            <a:effectLst/>
          </c:spPr>
          <c:invertIfNegative val="0"/>
          <c:cat>
            <c:strRef>
              <c:f>Pivot!$J$3:$J$52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Pivot!$L$3:$L$52</c:f>
              <c:numCache>
                <c:formatCode>General</c:formatCode>
                <c:ptCount val="50"/>
                <c:pt idx="0">
                  <c:v>47036</c:v>
                </c:pt>
                <c:pt idx="1">
                  <c:v>42541</c:v>
                </c:pt>
                <c:pt idx="2">
                  <c:v>43087</c:v>
                </c:pt>
                <c:pt idx="3">
                  <c:v>46504</c:v>
                </c:pt>
                <c:pt idx="4">
                  <c:v>60994</c:v>
                </c:pt>
                <c:pt idx="5">
                  <c:v>44010</c:v>
                </c:pt>
                <c:pt idx="6">
                  <c:v>49716</c:v>
                </c:pt>
                <c:pt idx="7">
                  <c:v>62435</c:v>
                </c:pt>
                <c:pt idx="8">
                  <c:v>69223</c:v>
                </c:pt>
                <c:pt idx="9">
                  <c:v>51353</c:v>
                </c:pt>
                <c:pt idx="10">
                  <c:v>78059</c:v>
                </c:pt>
                <c:pt idx="11">
                  <c:v>58989</c:v>
                </c:pt>
                <c:pt idx="12">
                  <c:v>60867</c:v>
                </c:pt>
                <c:pt idx="13">
                  <c:v>50566</c:v>
                </c:pt>
                <c:pt idx="14">
                  <c:v>51179</c:v>
                </c:pt>
                <c:pt idx="15">
                  <c:v>71922</c:v>
                </c:pt>
                <c:pt idx="16">
                  <c:v>48731</c:v>
                </c:pt>
                <c:pt idx="17">
                  <c:v>74226</c:v>
                </c:pt>
                <c:pt idx="18">
                  <c:v>46989</c:v>
                </c:pt>
                <c:pt idx="19">
                  <c:v>66443</c:v>
                </c:pt>
                <c:pt idx="20">
                  <c:v>59713</c:v>
                </c:pt>
                <c:pt idx="21">
                  <c:v>77416</c:v>
                </c:pt>
                <c:pt idx="22">
                  <c:v>57918</c:v>
                </c:pt>
                <c:pt idx="23">
                  <c:v>75402</c:v>
                </c:pt>
                <c:pt idx="24">
                  <c:v>42037</c:v>
                </c:pt>
                <c:pt idx="25">
                  <c:v>40074</c:v>
                </c:pt>
                <c:pt idx="26">
                  <c:v>46081</c:v>
                </c:pt>
                <c:pt idx="27">
                  <c:v>71753</c:v>
                </c:pt>
                <c:pt idx="28">
                  <c:v>70238</c:v>
                </c:pt>
                <c:pt idx="29">
                  <c:v>67712</c:v>
                </c:pt>
                <c:pt idx="30">
                  <c:v>79991</c:v>
                </c:pt>
                <c:pt idx="31">
                  <c:v>72806</c:v>
                </c:pt>
                <c:pt idx="32">
                  <c:v>56159</c:v>
                </c:pt>
                <c:pt idx="33">
                  <c:v>62287</c:v>
                </c:pt>
                <c:pt idx="34">
                  <c:v>69879</c:v>
                </c:pt>
                <c:pt idx="35">
                  <c:v>63369</c:v>
                </c:pt>
                <c:pt idx="36">
                  <c:v>62659</c:v>
                </c:pt>
                <c:pt idx="37">
                  <c:v>79714</c:v>
                </c:pt>
                <c:pt idx="38">
                  <c:v>50750</c:v>
                </c:pt>
                <c:pt idx="39">
                  <c:v>65271</c:v>
                </c:pt>
                <c:pt idx="40">
                  <c:v>79312</c:v>
                </c:pt>
                <c:pt idx="41">
                  <c:v>54075</c:v>
                </c:pt>
                <c:pt idx="42">
                  <c:v>64530</c:v>
                </c:pt>
                <c:pt idx="43">
                  <c:v>60259</c:v>
                </c:pt>
                <c:pt idx="44">
                  <c:v>53528</c:v>
                </c:pt>
                <c:pt idx="45">
                  <c:v>59232</c:v>
                </c:pt>
                <c:pt idx="46">
                  <c:v>41959</c:v>
                </c:pt>
                <c:pt idx="47">
                  <c:v>53291</c:v>
                </c:pt>
                <c:pt idx="48">
                  <c:v>70143</c:v>
                </c:pt>
                <c:pt idx="49">
                  <c:v>58173</c:v>
                </c:pt>
              </c:numCache>
            </c:numRef>
          </c:val>
          <c:extLst>
            <c:ext xmlns:c16="http://schemas.microsoft.com/office/drawing/2014/chart" uri="{C3380CC4-5D6E-409C-BE32-E72D297353CC}">
              <c16:uniqueId val="{00000001-D1B7-4840-A40E-A3B74A986DAA}"/>
            </c:ext>
          </c:extLst>
        </c:ser>
        <c:dLbls>
          <c:showLegendKey val="0"/>
          <c:showVal val="0"/>
          <c:showCatName val="0"/>
          <c:showSerName val="0"/>
          <c:showPercent val="0"/>
          <c:showBubbleSize val="0"/>
        </c:dLbls>
        <c:gapWidth val="182"/>
        <c:axId val="934324480"/>
        <c:axId val="934325920"/>
      </c:barChart>
      <c:catAx>
        <c:axId val="934324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NG"/>
          </a:p>
        </c:txPr>
        <c:crossAx val="934325920"/>
        <c:crosses val="autoZero"/>
        <c:auto val="1"/>
        <c:lblAlgn val="ctr"/>
        <c:lblOffset val="100"/>
        <c:noMultiLvlLbl val="0"/>
      </c:catAx>
      <c:valAx>
        <c:axId val="934325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NG"/>
          </a:p>
        </c:txPr>
        <c:crossAx val="934324480"/>
        <c:crosses val="autoZero"/>
        <c:crossBetween val="between"/>
      </c:valAx>
      <c:spPr>
        <a:noFill/>
        <a:ln>
          <a:noFill/>
        </a:ln>
        <a:effectLst/>
      </c:spPr>
    </c:plotArea>
    <c:legend>
      <c:legendPos val="r"/>
      <c:layout>
        <c:manualLayout>
          <c:xMode val="edge"/>
          <c:yMode val="edge"/>
          <c:x val="0.83038066670237654"/>
          <c:y val="0.28075768969889997"/>
          <c:w val="0.15601389112075278"/>
          <c:h val="0.35931758530183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86EFFF"/>
      </a:solidFill>
      <a:round/>
    </a:ln>
    <a:effectLst/>
  </c:spPr>
  <c:txPr>
    <a:bodyPr/>
    <a:lstStyle/>
    <a:p>
      <a:pPr>
        <a:defRPr>
          <a:solidFill>
            <a:schemeClr val="bg1">
              <a:lumMod val="9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 Dataset.xlsx]Pivot!PivotTable6</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de-DE"/>
              <a:t>States vs P</a:t>
            </a:r>
            <a:r>
              <a:rPr lang="de-DE" sz="1400" b="0" i="0" u="none" strike="noStrike" baseline="0"/>
              <a:t>rofit Margins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Pivot!$O$4:$O$53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Pivot!$P$4:$P$53</c:f>
              <c:numCache>
                <c:formatCode>0%</c:formatCode>
                <c:ptCount val="50"/>
                <c:pt idx="0">
                  <c:v>0.17802640343971415</c:v>
                </c:pt>
                <c:pt idx="1">
                  <c:v>0.13591417224975161</c:v>
                </c:pt>
                <c:pt idx="2">
                  <c:v>0.19442012832892636</c:v>
                </c:pt>
                <c:pt idx="3">
                  <c:v>0.16708043961729296</c:v>
                </c:pt>
                <c:pt idx="4">
                  <c:v>0.29910895993016834</c:v>
                </c:pt>
                <c:pt idx="5">
                  <c:v>0.23170230912594372</c:v>
                </c:pt>
                <c:pt idx="6">
                  <c:v>0.20146368742249993</c:v>
                </c:pt>
                <c:pt idx="7">
                  <c:v>0.28078467703128723</c:v>
                </c:pt>
                <c:pt idx="8">
                  <c:v>0.23903052151423174</c:v>
                </c:pt>
                <c:pt idx="9">
                  <c:v>0.26599502745260539</c:v>
                </c:pt>
                <c:pt idx="10">
                  <c:v>0.28354468083560663</c:v>
                </c:pt>
                <c:pt idx="11">
                  <c:v>0.21300204736748982</c:v>
                </c:pt>
                <c:pt idx="12">
                  <c:v>0.25542924047286325</c:v>
                </c:pt>
                <c:pt idx="13">
                  <c:v>0.18440409462716939</c:v>
                </c:pt>
                <c:pt idx="14">
                  <c:v>0.16107853597585348</c:v>
                </c:pt>
                <c:pt idx="15">
                  <c:v>0.36665528122881164</c:v>
                </c:pt>
                <c:pt idx="16">
                  <c:v>0.22679083361256935</c:v>
                </c:pt>
                <c:pt idx="17">
                  <c:v>0.24349326527532655</c:v>
                </c:pt>
                <c:pt idx="18">
                  <c:v>0.18233497731920359</c:v>
                </c:pt>
                <c:pt idx="19">
                  <c:v>0.31862408946391663</c:v>
                </c:pt>
                <c:pt idx="20">
                  <c:v>0.24688872166772788</c:v>
                </c:pt>
                <c:pt idx="21">
                  <c:v>0.36144285807662496</c:v>
                </c:pt>
                <c:pt idx="22">
                  <c:v>0.19963325773295373</c:v>
                </c:pt>
                <c:pt idx="23">
                  <c:v>0.31120044243769968</c:v>
                </c:pt>
                <c:pt idx="24">
                  <c:v>0.1761730340469046</c:v>
                </c:pt>
                <c:pt idx="25">
                  <c:v>0.1561480823407016</c:v>
                </c:pt>
                <c:pt idx="26">
                  <c:v>0.23538576273956929</c:v>
                </c:pt>
                <c:pt idx="27">
                  <c:v>0.3060233975493562</c:v>
                </c:pt>
                <c:pt idx="28">
                  <c:v>0.32586083712989339</c:v>
                </c:pt>
                <c:pt idx="29">
                  <c:v>0.28710747025551003</c:v>
                </c:pt>
                <c:pt idx="30">
                  <c:v>0.37975038097996117</c:v>
                </c:pt>
                <c:pt idx="31">
                  <c:v>0.26080103738675969</c:v>
                </c:pt>
                <c:pt idx="32">
                  <c:v>0.23934519852026118</c:v>
                </c:pt>
                <c:pt idx="33">
                  <c:v>0.27645881324261107</c:v>
                </c:pt>
                <c:pt idx="34">
                  <c:v>0.23189728409483101</c:v>
                </c:pt>
                <c:pt idx="35">
                  <c:v>0.28205116792479706</c:v>
                </c:pt>
                <c:pt idx="36">
                  <c:v>0.21014240007512391</c:v>
                </c:pt>
                <c:pt idx="37">
                  <c:v>0.36363553422682859</c:v>
                </c:pt>
                <c:pt idx="38">
                  <c:v>0.18255658354796472</c:v>
                </c:pt>
                <c:pt idx="39">
                  <c:v>0.22858313546678993</c:v>
                </c:pt>
                <c:pt idx="40">
                  <c:v>0.28338061583975876</c:v>
                </c:pt>
                <c:pt idx="41">
                  <c:v>0.1631590857660104</c:v>
                </c:pt>
                <c:pt idx="42">
                  <c:v>0.20472066241553249</c:v>
                </c:pt>
                <c:pt idx="43">
                  <c:v>0.21041769968363491</c:v>
                </c:pt>
                <c:pt idx="44">
                  <c:v>0.1653262172145831</c:v>
                </c:pt>
                <c:pt idx="45">
                  <c:v>0.19761785607046342</c:v>
                </c:pt>
                <c:pt idx="46">
                  <c:v>0.14521247694229777</c:v>
                </c:pt>
                <c:pt idx="47">
                  <c:v>0.17981482356275685</c:v>
                </c:pt>
                <c:pt idx="48">
                  <c:v>0.24954462011356035</c:v>
                </c:pt>
                <c:pt idx="49">
                  <c:v>0.21484761637440725</c:v>
                </c:pt>
              </c:numCache>
            </c:numRef>
          </c:val>
          <c:extLst>
            <c:ext xmlns:c16="http://schemas.microsoft.com/office/drawing/2014/chart" uri="{C3380CC4-5D6E-409C-BE32-E72D297353CC}">
              <c16:uniqueId val="{00000003-387E-40F9-8923-FCADE5F8914F}"/>
            </c:ext>
          </c:extLst>
        </c:ser>
        <c:dLbls>
          <c:showLegendKey val="0"/>
          <c:showVal val="0"/>
          <c:showCatName val="0"/>
          <c:showSerName val="0"/>
          <c:showPercent val="0"/>
          <c:showBubbleSize val="0"/>
        </c:dLbls>
        <c:gapWidth val="219"/>
        <c:overlap val="-27"/>
        <c:axId val="889808191"/>
        <c:axId val="889797151"/>
      </c:barChart>
      <c:catAx>
        <c:axId val="88980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89797151"/>
        <c:crosses val="autoZero"/>
        <c:auto val="1"/>
        <c:lblAlgn val="ctr"/>
        <c:lblOffset val="100"/>
        <c:noMultiLvlLbl val="0"/>
      </c:catAx>
      <c:valAx>
        <c:axId val="8897971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89808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86EFFF"/>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 Dataset.xlsx]Pivot!PivotTable14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Pivot!$T$3</c:f>
              <c:strCache>
                <c:ptCount val="1"/>
                <c:pt idx="0">
                  <c:v>Total</c:v>
                </c:pt>
              </c:strCache>
            </c:strRef>
          </c:tx>
          <c:spPr>
            <a:solidFill>
              <a:schemeClr val="accent1"/>
            </a:solidFill>
            <a:ln>
              <a:noFill/>
            </a:ln>
            <a:effectLst/>
          </c:spPr>
          <c:invertIfNegative val="0"/>
          <c:cat>
            <c:strRef>
              <c:f>Pivot!$S$4:$S$53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Pivot!$T$4:$T$53</c:f>
              <c:numCache>
                <c:formatCode>General</c:formatCode>
                <c:ptCount val="50"/>
                <c:pt idx="0">
                  <c:v>169.19424460431654</c:v>
                </c:pt>
                <c:pt idx="1">
                  <c:v>259.39634146341461</c:v>
                </c:pt>
                <c:pt idx="2">
                  <c:v>238.04972375690608</c:v>
                </c:pt>
                <c:pt idx="3">
                  <c:v>163.1719298245614</c:v>
                </c:pt>
                <c:pt idx="4">
                  <c:v>303.45273631840797</c:v>
                </c:pt>
                <c:pt idx="5">
                  <c:v>427.28155339805824</c:v>
                </c:pt>
                <c:pt idx="6">
                  <c:v>194.203125</c:v>
                </c:pt>
                <c:pt idx="7">
                  <c:v>316.92893401015226</c:v>
                </c:pt>
                <c:pt idx="8">
                  <c:v>501.6159420289855</c:v>
                </c:pt>
                <c:pt idx="9">
                  <c:v>296.83815028901734</c:v>
                </c:pt>
                <c:pt idx="10">
                  <c:v>336.46120689655174</c:v>
                </c:pt>
                <c:pt idx="11">
                  <c:v>572.70873786407765</c:v>
                </c:pt>
                <c:pt idx="12">
                  <c:v>210.61245674740485</c:v>
                </c:pt>
                <c:pt idx="13">
                  <c:v>353.60839160839163</c:v>
                </c:pt>
                <c:pt idx="14">
                  <c:v>216.86016949152543</c:v>
                </c:pt>
                <c:pt idx="15">
                  <c:v>344.1244019138756</c:v>
                </c:pt>
                <c:pt idx="16">
                  <c:v>165.75170068027211</c:v>
                </c:pt>
                <c:pt idx="17">
                  <c:v>372.99497487437185</c:v>
                </c:pt>
                <c:pt idx="18">
                  <c:v>174.03333333333333</c:v>
                </c:pt>
                <c:pt idx="19">
                  <c:v>395.49404761904759</c:v>
                </c:pt>
                <c:pt idx="20">
                  <c:v>322.77297297297298</c:v>
                </c:pt>
                <c:pt idx="21">
                  <c:v>296.61302681992339</c:v>
                </c:pt>
                <c:pt idx="22">
                  <c:v>213.71955719557195</c:v>
                </c:pt>
                <c:pt idx="23">
                  <c:v>281.35074626865674</c:v>
                </c:pt>
                <c:pt idx="24">
                  <c:v>141.53872053872053</c:v>
                </c:pt>
                <c:pt idx="25">
                  <c:v>151.79545454545453</c:v>
                </c:pt>
                <c:pt idx="26">
                  <c:v>275.93413173652692</c:v>
                </c:pt>
                <c:pt idx="27">
                  <c:v>306.63675213675214</c:v>
                </c:pt>
                <c:pt idx="28">
                  <c:v>260.14074074074074</c:v>
                </c:pt>
                <c:pt idx="29">
                  <c:v>285.70464135021098</c:v>
                </c:pt>
                <c:pt idx="30">
                  <c:v>476.13690476190476</c:v>
                </c:pt>
                <c:pt idx="31">
                  <c:v>350.02884615384613</c:v>
                </c:pt>
                <c:pt idx="32">
                  <c:v>192.98625429553263</c:v>
                </c:pt>
                <c:pt idx="33">
                  <c:v>265.05106382978721</c:v>
                </c:pt>
                <c:pt idx="34">
                  <c:v>383.95054945054943</c:v>
                </c:pt>
                <c:pt idx="35">
                  <c:v>443.13986013986016</c:v>
                </c:pt>
                <c:pt idx="36">
                  <c:v>243.80933852140078</c:v>
                </c:pt>
                <c:pt idx="37">
                  <c:v>504.51898734177217</c:v>
                </c:pt>
                <c:pt idx="38">
                  <c:v>298.52941176470586</c:v>
                </c:pt>
                <c:pt idx="39">
                  <c:v>249.12595419847329</c:v>
                </c:pt>
                <c:pt idx="40">
                  <c:v>346.34061135371178</c:v>
                </c:pt>
                <c:pt idx="41">
                  <c:v>210.40856031128405</c:v>
                </c:pt>
                <c:pt idx="42">
                  <c:v>416.32258064516128</c:v>
                </c:pt>
                <c:pt idx="43">
                  <c:v>474.48031496062993</c:v>
                </c:pt>
                <c:pt idx="44">
                  <c:v>207.47286821705427</c:v>
                </c:pt>
                <c:pt idx="45">
                  <c:v>435.52941176470586</c:v>
                </c:pt>
                <c:pt idx="46">
                  <c:v>272.46103896103898</c:v>
                </c:pt>
                <c:pt idx="47">
                  <c:v>352.92052980132451</c:v>
                </c:pt>
                <c:pt idx="48">
                  <c:v>389.68333333333334</c:v>
                </c:pt>
                <c:pt idx="49">
                  <c:v>548.80188679245282</c:v>
                </c:pt>
              </c:numCache>
            </c:numRef>
          </c:val>
          <c:extLst>
            <c:ext xmlns:c16="http://schemas.microsoft.com/office/drawing/2014/chart" uri="{C3380CC4-5D6E-409C-BE32-E72D297353CC}">
              <c16:uniqueId val="{00000003-7443-47C8-9065-61C1DC8AC572}"/>
            </c:ext>
          </c:extLst>
        </c:ser>
        <c:dLbls>
          <c:showLegendKey val="0"/>
          <c:showVal val="0"/>
          <c:showCatName val="0"/>
          <c:showSerName val="0"/>
          <c:showPercent val="0"/>
          <c:showBubbleSize val="0"/>
        </c:dLbls>
        <c:gapWidth val="150"/>
        <c:axId val="889814911"/>
        <c:axId val="889822591"/>
      </c:barChart>
      <c:catAx>
        <c:axId val="88981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89822591"/>
        <c:crosses val="autoZero"/>
        <c:auto val="1"/>
        <c:lblAlgn val="ctr"/>
        <c:lblOffset val="100"/>
        <c:noMultiLvlLbl val="0"/>
      </c:catAx>
      <c:valAx>
        <c:axId val="8898225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8981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86EFFF"/>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 Dataset.xlsx]Pivot!PivotTable5</c:name>
    <c:fmtId val="12"/>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de-DE">
                <a:solidFill>
                  <a:schemeClr val="bg1"/>
                </a:solidFill>
              </a:rPr>
              <a:t>R&amp;D and Profit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Pivot!$G$3</c:f>
              <c:strCache>
                <c:ptCount val="1"/>
                <c:pt idx="0">
                  <c:v>Sum of Profit (in $)</c:v>
                </c:pt>
              </c:strCache>
            </c:strRef>
          </c:tx>
          <c:spPr>
            <a:ln w="28575" cap="rnd">
              <a:solidFill>
                <a:schemeClr val="accent1"/>
              </a:solidFill>
              <a:round/>
            </a:ln>
            <a:effectLst/>
          </c:spPr>
          <c:marker>
            <c:symbol val="none"/>
          </c:marker>
          <c:cat>
            <c:strRef>
              <c:f>Pivot!$F$4:$F$54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Pivot!$G$4:$G$54</c:f>
              <c:numCache>
                <c:formatCode>General</c:formatCode>
                <c:ptCount val="50"/>
                <c:pt idx="0">
                  <c:v>47036</c:v>
                </c:pt>
                <c:pt idx="1">
                  <c:v>42541</c:v>
                </c:pt>
                <c:pt idx="2">
                  <c:v>43087</c:v>
                </c:pt>
                <c:pt idx="3">
                  <c:v>46504</c:v>
                </c:pt>
                <c:pt idx="4">
                  <c:v>60994</c:v>
                </c:pt>
                <c:pt idx="5">
                  <c:v>44010</c:v>
                </c:pt>
                <c:pt idx="6">
                  <c:v>49716</c:v>
                </c:pt>
                <c:pt idx="7">
                  <c:v>62435</c:v>
                </c:pt>
                <c:pt idx="8">
                  <c:v>69223</c:v>
                </c:pt>
                <c:pt idx="9">
                  <c:v>51353</c:v>
                </c:pt>
                <c:pt idx="10">
                  <c:v>78059</c:v>
                </c:pt>
                <c:pt idx="11">
                  <c:v>58989</c:v>
                </c:pt>
                <c:pt idx="12">
                  <c:v>60867</c:v>
                </c:pt>
                <c:pt idx="13">
                  <c:v>50566</c:v>
                </c:pt>
                <c:pt idx="14">
                  <c:v>51179</c:v>
                </c:pt>
                <c:pt idx="15">
                  <c:v>71922</c:v>
                </c:pt>
                <c:pt idx="16">
                  <c:v>48731</c:v>
                </c:pt>
                <c:pt idx="17">
                  <c:v>74226</c:v>
                </c:pt>
                <c:pt idx="18">
                  <c:v>46989</c:v>
                </c:pt>
                <c:pt idx="19">
                  <c:v>66443</c:v>
                </c:pt>
                <c:pt idx="20">
                  <c:v>59713</c:v>
                </c:pt>
                <c:pt idx="21">
                  <c:v>77416</c:v>
                </c:pt>
                <c:pt idx="22">
                  <c:v>57918</c:v>
                </c:pt>
                <c:pt idx="23">
                  <c:v>75402</c:v>
                </c:pt>
                <c:pt idx="24">
                  <c:v>42037</c:v>
                </c:pt>
                <c:pt idx="25">
                  <c:v>40074</c:v>
                </c:pt>
                <c:pt idx="26">
                  <c:v>46081</c:v>
                </c:pt>
                <c:pt idx="27">
                  <c:v>71753</c:v>
                </c:pt>
                <c:pt idx="28">
                  <c:v>70238</c:v>
                </c:pt>
                <c:pt idx="29">
                  <c:v>67712</c:v>
                </c:pt>
                <c:pt idx="30">
                  <c:v>79991</c:v>
                </c:pt>
                <c:pt idx="31">
                  <c:v>72806</c:v>
                </c:pt>
                <c:pt idx="32">
                  <c:v>56159</c:v>
                </c:pt>
                <c:pt idx="33">
                  <c:v>62287</c:v>
                </c:pt>
                <c:pt idx="34">
                  <c:v>69879</c:v>
                </c:pt>
                <c:pt idx="35">
                  <c:v>63369</c:v>
                </c:pt>
                <c:pt idx="36">
                  <c:v>62659</c:v>
                </c:pt>
                <c:pt idx="37">
                  <c:v>79714</c:v>
                </c:pt>
                <c:pt idx="38">
                  <c:v>50750</c:v>
                </c:pt>
                <c:pt idx="39">
                  <c:v>65271</c:v>
                </c:pt>
                <c:pt idx="40">
                  <c:v>79312</c:v>
                </c:pt>
                <c:pt idx="41">
                  <c:v>54075</c:v>
                </c:pt>
                <c:pt idx="42">
                  <c:v>64530</c:v>
                </c:pt>
                <c:pt idx="43">
                  <c:v>60259</c:v>
                </c:pt>
                <c:pt idx="44">
                  <c:v>53528</c:v>
                </c:pt>
                <c:pt idx="45">
                  <c:v>59232</c:v>
                </c:pt>
                <c:pt idx="46">
                  <c:v>41959</c:v>
                </c:pt>
                <c:pt idx="47">
                  <c:v>53291</c:v>
                </c:pt>
                <c:pt idx="48">
                  <c:v>70143</c:v>
                </c:pt>
                <c:pt idx="49">
                  <c:v>58173</c:v>
                </c:pt>
              </c:numCache>
            </c:numRef>
          </c:val>
          <c:smooth val="0"/>
          <c:extLst>
            <c:ext xmlns:c16="http://schemas.microsoft.com/office/drawing/2014/chart" uri="{C3380CC4-5D6E-409C-BE32-E72D297353CC}">
              <c16:uniqueId val="{00000000-411E-4897-8278-0CFF38B560F6}"/>
            </c:ext>
          </c:extLst>
        </c:ser>
        <c:ser>
          <c:idx val="1"/>
          <c:order val="1"/>
          <c:tx>
            <c:strRef>
              <c:f>Pivot!$H$3</c:f>
              <c:strCache>
                <c:ptCount val="1"/>
                <c:pt idx="0">
                  <c:v>Sum of R&amp;D Amount (in $)</c:v>
                </c:pt>
              </c:strCache>
            </c:strRef>
          </c:tx>
          <c:spPr>
            <a:ln w="28575" cap="rnd">
              <a:solidFill>
                <a:schemeClr val="accent2"/>
              </a:solidFill>
              <a:round/>
            </a:ln>
            <a:effectLst/>
          </c:spPr>
          <c:marker>
            <c:symbol val="none"/>
          </c:marker>
          <c:cat>
            <c:strRef>
              <c:f>Pivot!$F$4:$F$54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Pivot!$H$4:$H$54</c:f>
              <c:numCache>
                <c:formatCode>General</c:formatCode>
                <c:ptCount val="50"/>
                <c:pt idx="0">
                  <c:v>167684</c:v>
                </c:pt>
                <c:pt idx="1">
                  <c:v>180067</c:v>
                </c:pt>
                <c:pt idx="2">
                  <c:v>105431</c:v>
                </c:pt>
                <c:pt idx="3">
                  <c:v>171035</c:v>
                </c:pt>
                <c:pt idx="4">
                  <c:v>121645</c:v>
                </c:pt>
                <c:pt idx="5">
                  <c:v>105622</c:v>
                </c:pt>
                <c:pt idx="6">
                  <c:v>150466</c:v>
                </c:pt>
                <c:pt idx="7">
                  <c:v>111609</c:v>
                </c:pt>
                <c:pt idx="8">
                  <c:v>183704</c:v>
                </c:pt>
                <c:pt idx="9">
                  <c:v>116466</c:v>
                </c:pt>
                <c:pt idx="10">
                  <c:v>172907</c:v>
                </c:pt>
                <c:pt idx="11">
                  <c:v>131660</c:v>
                </c:pt>
                <c:pt idx="12">
                  <c:v>100453</c:v>
                </c:pt>
                <c:pt idx="13">
                  <c:v>146080</c:v>
                </c:pt>
                <c:pt idx="14">
                  <c:v>169022</c:v>
                </c:pt>
                <c:pt idx="15">
                  <c:v>103365</c:v>
                </c:pt>
                <c:pt idx="16">
                  <c:v>128277</c:v>
                </c:pt>
                <c:pt idx="17">
                  <c:v>157091</c:v>
                </c:pt>
                <c:pt idx="18">
                  <c:v>179268</c:v>
                </c:pt>
                <c:pt idx="19">
                  <c:v>114414</c:v>
                </c:pt>
                <c:pt idx="20">
                  <c:v>114242</c:v>
                </c:pt>
                <c:pt idx="21">
                  <c:v>115505</c:v>
                </c:pt>
                <c:pt idx="22">
                  <c:v>158052</c:v>
                </c:pt>
                <c:pt idx="23">
                  <c:v>114213</c:v>
                </c:pt>
                <c:pt idx="24">
                  <c:v>103544</c:v>
                </c:pt>
                <c:pt idx="25">
                  <c:v>112457</c:v>
                </c:pt>
                <c:pt idx="26">
                  <c:v>112875</c:v>
                </c:pt>
                <c:pt idx="27">
                  <c:v>123192</c:v>
                </c:pt>
                <c:pt idx="28">
                  <c:v>137724</c:v>
                </c:pt>
                <c:pt idx="29">
                  <c:v>119630</c:v>
                </c:pt>
                <c:pt idx="30">
                  <c:v>110909</c:v>
                </c:pt>
                <c:pt idx="31">
                  <c:v>147174</c:v>
                </c:pt>
                <c:pt idx="32">
                  <c:v>133356</c:v>
                </c:pt>
                <c:pt idx="33">
                  <c:v>136928</c:v>
                </c:pt>
                <c:pt idx="34">
                  <c:v>171059</c:v>
                </c:pt>
                <c:pt idx="35">
                  <c:v>126584</c:v>
                </c:pt>
                <c:pt idx="36">
                  <c:v>166674</c:v>
                </c:pt>
                <c:pt idx="37">
                  <c:v>149115</c:v>
                </c:pt>
                <c:pt idx="38">
                  <c:v>162748</c:v>
                </c:pt>
                <c:pt idx="39">
                  <c:v>163062</c:v>
                </c:pt>
                <c:pt idx="40">
                  <c:v>199724</c:v>
                </c:pt>
                <c:pt idx="41">
                  <c:v>189237</c:v>
                </c:pt>
                <c:pt idx="42">
                  <c:v>169724</c:v>
                </c:pt>
                <c:pt idx="43">
                  <c:v>175675</c:v>
                </c:pt>
                <c:pt idx="44">
                  <c:v>194770</c:v>
                </c:pt>
                <c:pt idx="45">
                  <c:v>198980</c:v>
                </c:pt>
                <c:pt idx="46">
                  <c:v>198739</c:v>
                </c:pt>
                <c:pt idx="47">
                  <c:v>184839</c:v>
                </c:pt>
                <c:pt idx="48">
                  <c:v>182772</c:v>
                </c:pt>
                <c:pt idx="49">
                  <c:v>143455</c:v>
                </c:pt>
              </c:numCache>
            </c:numRef>
          </c:val>
          <c:smooth val="0"/>
          <c:extLst>
            <c:ext xmlns:c16="http://schemas.microsoft.com/office/drawing/2014/chart" uri="{C3380CC4-5D6E-409C-BE32-E72D297353CC}">
              <c16:uniqueId val="{00000001-411E-4897-8278-0CFF38B560F6}"/>
            </c:ext>
          </c:extLst>
        </c:ser>
        <c:dLbls>
          <c:showLegendKey val="0"/>
          <c:showVal val="0"/>
          <c:showCatName val="0"/>
          <c:showSerName val="0"/>
          <c:showPercent val="0"/>
          <c:showBubbleSize val="0"/>
        </c:dLbls>
        <c:smooth val="0"/>
        <c:axId val="889852831"/>
        <c:axId val="889848991"/>
      </c:lineChart>
      <c:catAx>
        <c:axId val="889852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NG"/>
          </a:p>
        </c:txPr>
        <c:crossAx val="889848991"/>
        <c:crosses val="autoZero"/>
        <c:auto val="1"/>
        <c:lblAlgn val="ctr"/>
        <c:lblOffset val="100"/>
        <c:noMultiLvlLbl val="0"/>
      </c:catAx>
      <c:valAx>
        <c:axId val="889848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88985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rgbClr val="86EFFF"/>
      </a:solidFill>
      <a:round/>
    </a:ln>
    <a:effectLst/>
  </c:spPr>
  <c:txPr>
    <a:bodyPr/>
    <a:lstStyle/>
    <a:p>
      <a:pPr>
        <a:defRPr>
          <a:solidFill>
            <a:schemeClr val="tx2">
              <a:lumMod val="60000"/>
              <a:lumOff val="4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Financial Dataset.xlsx]Pivot 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2'!$B$2</c:f>
              <c:strCache>
                <c:ptCount val="1"/>
                <c:pt idx="0">
                  <c:v>Total</c:v>
                </c:pt>
              </c:strCache>
            </c:strRef>
          </c:tx>
          <c:spPr>
            <a:solidFill>
              <a:schemeClr val="accent1"/>
            </a:solidFill>
            <a:ln>
              <a:noFill/>
            </a:ln>
            <a:effectLst/>
          </c:spPr>
          <c:invertIfNegative val="0"/>
          <c:cat>
            <c:strRef>
              <c:f>'Pivot 2'!$A$3:$A$52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2'!$B$3:$B$52</c:f>
              <c:numCache>
                <c:formatCode>"£"#,##0.0</c:formatCode>
                <c:ptCount val="50"/>
                <c:pt idx="0">
                  <c:v>28.050380477564946</c:v>
                </c:pt>
                <c:pt idx="1">
                  <c:v>23.625095103489258</c:v>
                </c:pt>
                <c:pt idx="2">
                  <c:v>40.867486792309663</c:v>
                </c:pt>
                <c:pt idx="3">
                  <c:v>27.189756482591282</c:v>
                </c:pt>
                <c:pt idx="4">
                  <c:v>50.140984010851255</c:v>
                </c:pt>
                <c:pt idx="5">
                  <c:v>41.667455643710589</c:v>
                </c:pt>
                <c:pt idx="6">
                  <c:v>33.041351534565948</c:v>
                </c:pt>
                <c:pt idx="7">
                  <c:v>55.940829144603029</c:v>
                </c:pt>
                <c:pt idx="8">
                  <c:v>37.681814222880284</c:v>
                </c:pt>
                <c:pt idx="9">
                  <c:v>44.092696580976423</c:v>
                </c:pt>
                <c:pt idx="10">
                  <c:v>45.145077989902092</c:v>
                </c:pt>
                <c:pt idx="11">
                  <c:v>44.804040710922074</c:v>
                </c:pt>
                <c:pt idx="12">
                  <c:v>60.592515902959597</c:v>
                </c:pt>
                <c:pt idx="13">
                  <c:v>34.61527929901424</c:v>
                </c:pt>
                <c:pt idx="14">
                  <c:v>30.279490243873582</c:v>
                </c:pt>
                <c:pt idx="15">
                  <c:v>69.580612392976349</c:v>
                </c:pt>
                <c:pt idx="16">
                  <c:v>37.988883431948054</c:v>
                </c:pt>
                <c:pt idx="17">
                  <c:v>47.250319878287108</c:v>
                </c:pt>
                <c:pt idx="18">
                  <c:v>26.211593814847046</c:v>
                </c:pt>
                <c:pt idx="19">
                  <c:v>58.072438687573204</c:v>
                </c:pt>
                <c:pt idx="20">
                  <c:v>52.26886784194955</c:v>
                </c:pt>
                <c:pt idx="21">
                  <c:v>67.023938357646855</c:v>
                </c:pt>
                <c:pt idx="22">
                  <c:v>36.644901677928779</c:v>
                </c:pt>
                <c:pt idx="23">
                  <c:v>66.018754432507691</c:v>
                </c:pt>
                <c:pt idx="24">
                  <c:v>40.598199799119215</c:v>
                </c:pt>
                <c:pt idx="25">
                  <c:v>35.634953804565299</c:v>
                </c:pt>
                <c:pt idx="26">
                  <c:v>40.824806201550388</c:v>
                </c:pt>
                <c:pt idx="27">
                  <c:v>58.244853561919605</c:v>
                </c:pt>
                <c:pt idx="28">
                  <c:v>50.999099648572511</c:v>
                </c:pt>
                <c:pt idx="29">
                  <c:v>56.601186993229128</c:v>
                </c:pt>
                <c:pt idx="30">
                  <c:v>72.123091904173691</c:v>
                </c:pt>
                <c:pt idx="31">
                  <c:v>49.469335616345276</c:v>
                </c:pt>
                <c:pt idx="32">
                  <c:v>42.112090944539425</c:v>
                </c:pt>
                <c:pt idx="33">
                  <c:v>45.488870063098858</c:v>
                </c:pt>
                <c:pt idx="34">
                  <c:v>40.850817554177219</c:v>
                </c:pt>
                <c:pt idx="35">
                  <c:v>50.060829172723253</c:v>
                </c:pt>
                <c:pt idx="36">
                  <c:v>37.593745875181497</c:v>
                </c:pt>
                <c:pt idx="37">
                  <c:v>53.458069275391473</c:v>
                </c:pt>
                <c:pt idx="38">
                  <c:v>31.183178902352104</c:v>
                </c:pt>
                <c:pt idx="39">
                  <c:v>40.028332781396031</c:v>
                </c:pt>
                <c:pt idx="40">
                  <c:v>39.710800905249243</c:v>
                </c:pt>
                <c:pt idx="41">
                  <c:v>28.575278618874744</c:v>
                </c:pt>
                <c:pt idx="42">
                  <c:v>38.020551012231621</c:v>
                </c:pt>
                <c:pt idx="43">
                  <c:v>34.301408851572504</c:v>
                </c:pt>
                <c:pt idx="44">
                  <c:v>27.482671869384401</c:v>
                </c:pt>
                <c:pt idx="45">
                  <c:v>29.76781586089054</c:v>
                </c:pt>
                <c:pt idx="46">
                  <c:v>21.112615037813416</c:v>
                </c:pt>
                <c:pt idx="47">
                  <c:v>28.83103674008191</c:v>
                </c:pt>
                <c:pt idx="48">
                  <c:v>38.377322565819711</c:v>
                </c:pt>
                <c:pt idx="49">
                  <c:v>40.551392422710954</c:v>
                </c:pt>
              </c:numCache>
            </c:numRef>
          </c:val>
          <c:extLst>
            <c:ext xmlns:c16="http://schemas.microsoft.com/office/drawing/2014/chart" uri="{C3380CC4-5D6E-409C-BE32-E72D297353CC}">
              <c16:uniqueId val="{00000000-B644-4E95-A4E2-7EAE2E09A262}"/>
            </c:ext>
          </c:extLst>
        </c:ser>
        <c:dLbls>
          <c:showLegendKey val="0"/>
          <c:showVal val="0"/>
          <c:showCatName val="0"/>
          <c:showSerName val="0"/>
          <c:showPercent val="0"/>
          <c:showBubbleSize val="0"/>
        </c:dLbls>
        <c:gapWidth val="219"/>
        <c:overlap val="-27"/>
        <c:axId val="1966349104"/>
        <c:axId val="1974727152"/>
      </c:barChart>
      <c:catAx>
        <c:axId val="1966349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974727152"/>
        <c:crosses val="autoZero"/>
        <c:auto val="1"/>
        <c:lblAlgn val="ctr"/>
        <c:lblOffset val="100"/>
        <c:noMultiLvlLbl val="0"/>
      </c:catAx>
      <c:valAx>
        <c:axId val="1974727152"/>
        <c:scaling>
          <c:orientation val="minMax"/>
        </c:scaling>
        <c:delete val="0"/>
        <c:axPos val="l"/>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96634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effectLst/>
              <a:latin typeface="+mn-lt"/>
              <a:ea typeface="+mn-ea"/>
              <a:cs typeface="+mn-cs"/>
            </a:defRPr>
          </a:pPr>
          <a:endParaRPr lang="en-NG"/>
        </a:p>
      </c:txPr>
    </c:title>
    <c:autoTitleDeleted val="0"/>
    <c:plotArea>
      <c:layout/>
      <c:scatterChart>
        <c:scatterStyle val="lineMarker"/>
        <c:varyColors val="0"/>
        <c:ser>
          <c:idx val="0"/>
          <c:order val="0"/>
          <c:tx>
            <c:v>profit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2"/>
            <c:dispRSqr val="0"/>
            <c:dispEq val="0"/>
          </c:trendline>
          <c:trendline>
            <c:spPr>
              <a:ln w="19050" cap="rnd">
                <a:solidFill>
                  <a:schemeClr val="bg1"/>
                </a:solidFill>
                <a:prstDash val="sysDot"/>
              </a:ln>
              <a:effectLst/>
            </c:spPr>
            <c:trendlineType val="movingAvg"/>
            <c:period val="2"/>
            <c:dispRSqr val="0"/>
            <c:dispEq val="0"/>
          </c:trendline>
          <c:xVal>
            <c:strRef>
              <c:f>Sheet1!$G$1:$G$51</c:f>
              <c:strCache>
                <c:ptCount val="51"/>
                <c:pt idx="0">
                  <c:v>Product Count</c:v>
                </c:pt>
                <c:pt idx="1">
                  <c:v>36</c:v>
                </c:pt>
                <c:pt idx="2">
                  <c:v>45</c:v>
                </c:pt>
                <c:pt idx="3">
                  <c:v>26</c:v>
                </c:pt>
                <c:pt idx="4">
                  <c:v>29</c:v>
                </c:pt>
                <c:pt idx="5">
                  <c:v>32</c:v>
                </c:pt>
                <c:pt idx="6">
                  <c:v>45</c:v>
                </c:pt>
                <c:pt idx="7">
                  <c:v>30</c:v>
                </c:pt>
                <c:pt idx="8">
                  <c:v>45</c:v>
                </c:pt>
                <c:pt idx="9">
                  <c:v>48</c:v>
                </c:pt>
                <c:pt idx="10">
                  <c:v>44</c:v>
                </c:pt>
                <c:pt idx="11">
                  <c:v>41</c:v>
                </c:pt>
                <c:pt idx="12">
                  <c:v>37</c:v>
                </c:pt>
                <c:pt idx="13">
                  <c:v>50</c:v>
                </c:pt>
                <c:pt idx="14">
                  <c:v>41</c:v>
                </c:pt>
                <c:pt idx="15">
                  <c:v>40</c:v>
                </c:pt>
                <c:pt idx="16">
                  <c:v>36</c:v>
                </c:pt>
                <c:pt idx="17">
                  <c:v>41</c:v>
                </c:pt>
                <c:pt idx="18">
                  <c:v>42</c:v>
                </c:pt>
                <c:pt idx="19">
                  <c:v>31</c:v>
                </c:pt>
                <c:pt idx="20">
                  <c:v>32</c:v>
                </c:pt>
                <c:pt idx="21">
                  <c:v>50</c:v>
                </c:pt>
                <c:pt idx="22">
                  <c:v>44</c:v>
                </c:pt>
                <c:pt idx="23">
                  <c:v>37</c:v>
                </c:pt>
                <c:pt idx="24">
                  <c:v>32</c:v>
                </c:pt>
                <c:pt idx="25">
                  <c:v>44</c:v>
                </c:pt>
                <c:pt idx="26">
                  <c:v>36</c:v>
                </c:pt>
                <c:pt idx="27">
                  <c:v>49</c:v>
                </c:pt>
                <c:pt idx="28">
                  <c:v>48</c:v>
                </c:pt>
                <c:pt idx="29">
                  <c:v>28</c:v>
                </c:pt>
                <c:pt idx="30">
                  <c:v>38</c:v>
                </c:pt>
                <c:pt idx="31">
                  <c:v>27</c:v>
                </c:pt>
                <c:pt idx="32">
                  <c:v>36</c:v>
                </c:pt>
                <c:pt idx="33">
                  <c:v>29</c:v>
                </c:pt>
                <c:pt idx="34">
                  <c:v>31</c:v>
                </c:pt>
                <c:pt idx="35">
                  <c:v>27</c:v>
                </c:pt>
                <c:pt idx="36">
                  <c:v>31</c:v>
                </c:pt>
                <c:pt idx="37">
                  <c:v>35</c:v>
                </c:pt>
                <c:pt idx="38">
                  <c:v>28</c:v>
                </c:pt>
                <c:pt idx="39">
                  <c:v>42</c:v>
                </c:pt>
                <c:pt idx="40">
                  <c:v>48</c:v>
                </c:pt>
                <c:pt idx="41">
                  <c:v>43</c:v>
                </c:pt>
                <c:pt idx="42">
                  <c:v>20</c:v>
                </c:pt>
                <c:pt idx="43">
                  <c:v>43</c:v>
                </c:pt>
                <c:pt idx="44">
                  <c:v>33</c:v>
                </c:pt>
                <c:pt idx="45">
                  <c:v>37</c:v>
                </c:pt>
                <c:pt idx="46">
                  <c:v>27</c:v>
                </c:pt>
                <c:pt idx="47">
                  <c:v>43</c:v>
                </c:pt>
                <c:pt idx="48">
                  <c:v>43</c:v>
                </c:pt>
                <c:pt idx="49">
                  <c:v>43</c:v>
                </c:pt>
                <c:pt idx="50">
                  <c:v>37</c:v>
                </c:pt>
              </c:strCache>
            </c:strRef>
          </c:xVal>
          <c:yVal>
            <c:numRef>
              <c:f>Sheet1!$E$1:$E$51</c:f>
              <c:numCache>
                <c:formatCode>_-[$$-409]* #,##0.00_ ;_-[$$-409]* \-#,##0.00\ ;_-[$$-409]* "-"??_ ;_-@_ </c:formatCode>
                <c:ptCount val="51"/>
                <c:pt idx="0">
                  <c:v>0</c:v>
                </c:pt>
                <c:pt idx="1">
                  <c:v>79991</c:v>
                </c:pt>
                <c:pt idx="2">
                  <c:v>70143</c:v>
                </c:pt>
                <c:pt idx="3">
                  <c:v>56159</c:v>
                </c:pt>
                <c:pt idx="4">
                  <c:v>43087</c:v>
                </c:pt>
                <c:pt idx="5">
                  <c:v>50750</c:v>
                </c:pt>
                <c:pt idx="6">
                  <c:v>46989</c:v>
                </c:pt>
                <c:pt idx="7">
                  <c:v>53291</c:v>
                </c:pt>
                <c:pt idx="8">
                  <c:v>77416</c:v>
                </c:pt>
                <c:pt idx="9">
                  <c:v>65271</c:v>
                </c:pt>
                <c:pt idx="10">
                  <c:v>58989</c:v>
                </c:pt>
                <c:pt idx="11">
                  <c:v>60259</c:v>
                </c:pt>
                <c:pt idx="12">
                  <c:v>62659</c:v>
                </c:pt>
                <c:pt idx="13">
                  <c:v>41959</c:v>
                </c:pt>
                <c:pt idx="14">
                  <c:v>75402</c:v>
                </c:pt>
                <c:pt idx="15">
                  <c:v>59713</c:v>
                </c:pt>
                <c:pt idx="16">
                  <c:v>69223</c:v>
                </c:pt>
                <c:pt idx="17">
                  <c:v>44010</c:v>
                </c:pt>
                <c:pt idx="18">
                  <c:v>49716</c:v>
                </c:pt>
                <c:pt idx="19">
                  <c:v>54075</c:v>
                </c:pt>
                <c:pt idx="20">
                  <c:v>70238</c:v>
                </c:pt>
                <c:pt idx="21">
                  <c:v>60994</c:v>
                </c:pt>
                <c:pt idx="22">
                  <c:v>78059</c:v>
                </c:pt>
                <c:pt idx="23">
                  <c:v>63369</c:v>
                </c:pt>
                <c:pt idx="24">
                  <c:v>69879</c:v>
                </c:pt>
                <c:pt idx="25">
                  <c:v>57918</c:v>
                </c:pt>
                <c:pt idx="26">
                  <c:v>53528</c:v>
                </c:pt>
                <c:pt idx="27">
                  <c:v>71922</c:v>
                </c:pt>
                <c:pt idx="28">
                  <c:v>46081</c:v>
                </c:pt>
                <c:pt idx="29">
                  <c:v>58173</c:v>
                </c:pt>
                <c:pt idx="30">
                  <c:v>47036</c:v>
                </c:pt>
                <c:pt idx="31">
                  <c:v>46504</c:v>
                </c:pt>
                <c:pt idx="32">
                  <c:v>40074</c:v>
                </c:pt>
                <c:pt idx="33">
                  <c:v>66443</c:v>
                </c:pt>
                <c:pt idx="34">
                  <c:v>71753</c:v>
                </c:pt>
                <c:pt idx="35">
                  <c:v>67712</c:v>
                </c:pt>
                <c:pt idx="36">
                  <c:v>51353</c:v>
                </c:pt>
                <c:pt idx="37">
                  <c:v>48731</c:v>
                </c:pt>
                <c:pt idx="38">
                  <c:v>64530</c:v>
                </c:pt>
                <c:pt idx="39">
                  <c:v>50566</c:v>
                </c:pt>
                <c:pt idx="40">
                  <c:v>51179</c:v>
                </c:pt>
                <c:pt idx="41">
                  <c:v>79714</c:v>
                </c:pt>
                <c:pt idx="42">
                  <c:v>79312</c:v>
                </c:pt>
                <c:pt idx="43">
                  <c:v>62435</c:v>
                </c:pt>
                <c:pt idx="44">
                  <c:v>72806</c:v>
                </c:pt>
                <c:pt idx="45">
                  <c:v>62287</c:v>
                </c:pt>
                <c:pt idx="46">
                  <c:v>60867</c:v>
                </c:pt>
                <c:pt idx="47">
                  <c:v>74226</c:v>
                </c:pt>
                <c:pt idx="48">
                  <c:v>59232</c:v>
                </c:pt>
                <c:pt idx="49">
                  <c:v>42037</c:v>
                </c:pt>
                <c:pt idx="50">
                  <c:v>42541</c:v>
                </c:pt>
              </c:numCache>
            </c:numRef>
          </c:yVal>
          <c:smooth val="0"/>
          <c:extLst>
            <c:ext xmlns:c16="http://schemas.microsoft.com/office/drawing/2014/chart" uri="{C3380CC4-5D6E-409C-BE32-E72D297353CC}">
              <c16:uniqueId val="{00000000-1949-4592-B828-A5FF37DA5D54}"/>
            </c:ext>
          </c:extLst>
        </c:ser>
        <c:dLbls>
          <c:showLegendKey val="0"/>
          <c:showVal val="0"/>
          <c:showCatName val="0"/>
          <c:showSerName val="0"/>
          <c:showPercent val="0"/>
          <c:showBubbleSize val="0"/>
        </c:dLbls>
        <c:axId val="575141264"/>
        <c:axId val="575138864"/>
      </c:scatterChart>
      <c:valAx>
        <c:axId val="5751412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effectLst/>
                <a:latin typeface="+mn-lt"/>
                <a:ea typeface="+mn-ea"/>
                <a:cs typeface="+mn-cs"/>
              </a:defRPr>
            </a:pPr>
            <a:endParaRPr lang="en-NG"/>
          </a:p>
        </c:txPr>
        <c:crossAx val="575138864"/>
        <c:crosses val="autoZero"/>
        <c:crossBetween val="midCat"/>
      </c:valAx>
      <c:valAx>
        <c:axId val="575138864"/>
        <c:scaling>
          <c:orientation val="minMax"/>
        </c:scaling>
        <c:delete val="0"/>
        <c:axPos val="l"/>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effectLst/>
                <a:latin typeface="+mn-lt"/>
                <a:ea typeface="+mn-ea"/>
                <a:cs typeface="+mn-cs"/>
              </a:defRPr>
            </a:pPr>
            <a:endParaRPr lang="en-NG"/>
          </a:p>
        </c:txPr>
        <c:crossAx val="575141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ln>
            <a:noFill/>
          </a:ln>
          <a:solidFill>
            <a:schemeClr val="bg1"/>
          </a:solidFill>
          <a:effectLst/>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144780</xdr:colOff>
      <xdr:row>3</xdr:row>
      <xdr:rowOff>76200</xdr:rowOff>
    </xdr:from>
    <xdr:to>
      <xdr:col>9</xdr:col>
      <xdr:colOff>259080</xdr:colOff>
      <xdr:row>18</xdr:row>
      <xdr:rowOff>45720</xdr:rowOff>
    </xdr:to>
    <xdr:graphicFrame macro="">
      <xdr:nvGraphicFramePr>
        <xdr:cNvPr id="8" name="Chart 7">
          <a:extLst>
            <a:ext uri="{FF2B5EF4-FFF2-40B4-BE49-F238E27FC236}">
              <a16:creationId xmlns:a16="http://schemas.microsoft.com/office/drawing/2014/main" id="{D40451BC-BDCE-414C-B504-D8FA9FF14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0</xdr:row>
      <xdr:rowOff>76200</xdr:rowOff>
    </xdr:from>
    <xdr:to>
      <xdr:col>18</xdr:col>
      <xdr:colOff>365760</xdr:colOff>
      <xdr:row>2</xdr:row>
      <xdr:rowOff>106680</xdr:rowOff>
    </xdr:to>
    <xdr:sp macro="" textlink="">
      <xdr:nvSpPr>
        <xdr:cNvPr id="9" name="Rectangle: Rounded Corners 8">
          <a:extLst>
            <a:ext uri="{FF2B5EF4-FFF2-40B4-BE49-F238E27FC236}">
              <a16:creationId xmlns:a16="http://schemas.microsoft.com/office/drawing/2014/main" id="{8F8BB433-64E6-DD44-B7D2-0A5AFF205A5D}"/>
            </a:ext>
          </a:extLst>
        </xdr:cNvPr>
        <xdr:cNvSpPr/>
      </xdr:nvSpPr>
      <xdr:spPr>
        <a:xfrm>
          <a:off x="4465320" y="76200"/>
          <a:ext cx="6873240" cy="39624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800">
              <a:solidFill>
                <a:srgbClr val="86EFFF"/>
              </a:solidFill>
              <a:latin typeface="Arial Rounded MT Bold" panose="020F0704030504030204" pitchFamily="34" charset="0"/>
            </a:rPr>
            <a:t>Amazon Financial Dataset</a:t>
          </a:r>
          <a:endParaRPr lang="en-NG" sz="2800">
            <a:solidFill>
              <a:srgbClr val="86EFFF"/>
            </a:solidFill>
            <a:latin typeface="Arial Rounded MT Bold" panose="020F0704030504030204" pitchFamily="34" charset="0"/>
          </a:endParaRPr>
        </a:p>
      </xdr:txBody>
    </xdr:sp>
    <xdr:clientData/>
  </xdr:twoCellAnchor>
  <xdr:twoCellAnchor>
    <xdr:from>
      <xdr:col>12</xdr:col>
      <xdr:colOff>243840</xdr:colOff>
      <xdr:row>3</xdr:row>
      <xdr:rowOff>106680</xdr:rowOff>
    </xdr:from>
    <xdr:to>
      <xdr:col>23</xdr:col>
      <xdr:colOff>22860</xdr:colOff>
      <xdr:row>16</xdr:row>
      <xdr:rowOff>129540</xdr:rowOff>
    </xdr:to>
    <xdr:graphicFrame macro="">
      <xdr:nvGraphicFramePr>
        <xdr:cNvPr id="16" name="Chart 15">
          <a:extLst>
            <a:ext uri="{FF2B5EF4-FFF2-40B4-BE49-F238E27FC236}">
              <a16:creationId xmlns:a16="http://schemas.microsoft.com/office/drawing/2014/main" id="{855B79DE-B3A8-4576-8931-0E8D4ECE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320040</xdr:colOff>
      <xdr:row>3</xdr:row>
      <xdr:rowOff>106680</xdr:rowOff>
    </xdr:from>
    <xdr:to>
      <xdr:col>12</xdr:col>
      <xdr:colOff>121920</xdr:colOff>
      <xdr:row>27</xdr:row>
      <xdr:rowOff>129540</xdr:rowOff>
    </xdr:to>
    <mc:AlternateContent xmlns:mc="http://schemas.openxmlformats.org/markup-compatibility/2006" xmlns:a14="http://schemas.microsoft.com/office/drawing/2010/main">
      <mc:Choice Requires="a14">
        <xdr:graphicFrame macro="">
          <xdr:nvGraphicFramePr>
            <xdr:cNvPr id="20" name="State 1">
              <a:extLst>
                <a:ext uri="{FF2B5EF4-FFF2-40B4-BE49-F238E27FC236}">
                  <a16:creationId xmlns:a16="http://schemas.microsoft.com/office/drawing/2014/main" id="{3D9734E2-F132-4261-B2CD-EEFC574B894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806440" y="655320"/>
              <a:ext cx="1630680" cy="44119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251460</xdr:colOff>
      <xdr:row>17</xdr:row>
      <xdr:rowOff>60960</xdr:rowOff>
    </xdr:from>
    <xdr:to>
      <xdr:col>23</xdr:col>
      <xdr:colOff>7620</xdr:colOff>
      <xdr:row>30</xdr:row>
      <xdr:rowOff>38100</xdr:rowOff>
    </xdr:to>
    <xdr:graphicFrame macro="">
      <xdr:nvGraphicFramePr>
        <xdr:cNvPr id="22" name="Chart 21">
          <a:extLst>
            <a:ext uri="{FF2B5EF4-FFF2-40B4-BE49-F238E27FC236}">
              <a16:creationId xmlns:a16="http://schemas.microsoft.com/office/drawing/2014/main" id="{B6233490-241A-4F1E-9C86-3FF3E4353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18</xdr:row>
      <xdr:rowOff>121920</xdr:rowOff>
    </xdr:from>
    <xdr:to>
      <xdr:col>9</xdr:col>
      <xdr:colOff>251460</xdr:colOff>
      <xdr:row>30</xdr:row>
      <xdr:rowOff>45720</xdr:rowOff>
    </xdr:to>
    <xdr:graphicFrame macro="">
      <xdr:nvGraphicFramePr>
        <xdr:cNvPr id="24" name="Chart 23">
          <a:extLst>
            <a:ext uri="{FF2B5EF4-FFF2-40B4-BE49-F238E27FC236}">
              <a16:creationId xmlns:a16="http://schemas.microsoft.com/office/drawing/2014/main" id="{20910B51-2CCF-4D39-9027-E927267B4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76200</xdr:rowOff>
    </xdr:from>
    <xdr:to>
      <xdr:col>9</xdr:col>
      <xdr:colOff>556260</xdr:colOff>
      <xdr:row>15</xdr:row>
      <xdr:rowOff>152400</xdr:rowOff>
    </xdr:to>
    <xdr:graphicFrame macro="">
      <xdr:nvGraphicFramePr>
        <xdr:cNvPr id="3" name="Chart 2">
          <a:extLst>
            <a:ext uri="{FF2B5EF4-FFF2-40B4-BE49-F238E27FC236}">
              <a16:creationId xmlns:a16="http://schemas.microsoft.com/office/drawing/2014/main" id="{35F63613-9490-4C12-A352-195AAB225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16</xdr:row>
      <xdr:rowOff>106680</xdr:rowOff>
    </xdr:from>
    <xdr:to>
      <xdr:col>7</xdr:col>
      <xdr:colOff>365760</xdr:colOff>
      <xdr:row>28</xdr:row>
      <xdr:rowOff>167640</xdr:rowOff>
    </xdr:to>
    <xdr:graphicFrame macro="">
      <xdr:nvGraphicFramePr>
        <xdr:cNvPr id="7" name="Chart 6">
          <a:extLst>
            <a:ext uri="{FF2B5EF4-FFF2-40B4-BE49-F238E27FC236}">
              <a16:creationId xmlns:a16="http://schemas.microsoft.com/office/drawing/2014/main" id="{FE11E03A-174C-47C9-8500-2E68E57A6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Ojewale" refreshedDate="45782.100882754632" createdVersion="8" refreshedVersion="8" minRefreshableVersion="3" recordCount="50" xr:uid="{F2EBCFA9-DEBB-4139-975C-CC1634B3BB99}">
  <cacheSource type="worksheet">
    <worksheetSource name="Table1"/>
  </cacheSource>
  <cacheFields count="12">
    <cacheField name="State" numFmtId="0">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R&amp;D Amount (in $)" numFmtId="165">
      <sharedItems containsSemiMixedTypes="0" containsString="0" containsNumber="1" containsInteger="1" minValue="100453" maxValue="199724"/>
    </cacheField>
    <cacheField name="Marketing Amount (in $)" numFmtId="165">
      <sharedItems containsSemiMixedTypes="0" containsString="0" containsNumber="1" containsInteger="1" minValue="70099" maxValue="148705"/>
    </cacheField>
    <cacheField name="Campaigns (Count)" numFmtId="0">
      <sharedItems containsSemiMixedTypes="0" containsString="0" containsNumber="1" containsInteger="1" minValue="3" maxValue="10" count="8">
        <n v="6"/>
        <n v="3"/>
        <n v="10"/>
        <n v="7"/>
        <n v="8"/>
        <n v="4"/>
        <n v="5"/>
        <n v="9"/>
      </sharedItems>
    </cacheField>
    <cacheField name="Profit (in $)" numFmtId="165">
      <sharedItems containsSemiMixedTypes="0" containsString="0" containsNumber="1" containsInteger="1" minValue="40074" maxValue="79991" count="50">
        <n v="47036"/>
        <n v="42541"/>
        <n v="43087"/>
        <n v="46504"/>
        <n v="60994"/>
        <n v="44010"/>
        <n v="49716"/>
        <n v="62435"/>
        <n v="69223"/>
        <n v="51353"/>
        <n v="78059"/>
        <n v="58989"/>
        <n v="60867"/>
        <n v="50566"/>
        <n v="51179"/>
        <n v="71922"/>
        <n v="48731"/>
        <n v="74226"/>
        <n v="46989"/>
        <n v="66443"/>
        <n v="59713"/>
        <n v="77416"/>
        <n v="57918"/>
        <n v="75402"/>
        <n v="42037"/>
        <n v="40074"/>
        <n v="46081"/>
        <n v="71753"/>
        <n v="70238"/>
        <n v="67712"/>
        <n v="79991"/>
        <n v="72806"/>
        <n v="56159"/>
        <n v="62287"/>
        <n v="69879"/>
        <n v="63369"/>
        <n v="62659"/>
        <n v="79714"/>
        <n v="50750"/>
        <n v="65271"/>
        <n v="79312"/>
        <n v="54075"/>
        <n v="64530"/>
        <n v="60259"/>
        <n v="53528"/>
        <n v="59232"/>
        <n v="41959"/>
        <n v="53291"/>
        <n v="70143"/>
        <n v="58173"/>
      </sharedItems>
    </cacheField>
    <cacheField name="Employee Count" numFmtId="0">
      <sharedItems containsSemiMixedTypes="0" containsString="0" containsNumber="1" containsInteger="1" minValue="103" maxValue="297"/>
    </cacheField>
    <cacheField name="Product Count" numFmtId="0">
      <sharedItems containsSemiMixedTypes="0" containsString="0" containsNumber="1" containsInteger="1" minValue="20" maxValue="50" count="22">
        <n v="38"/>
        <n v="37"/>
        <n v="29"/>
        <n v="27"/>
        <n v="50"/>
        <n v="41"/>
        <n v="42"/>
        <n v="43"/>
        <n v="36"/>
        <n v="31"/>
        <n v="44"/>
        <n v="48"/>
        <n v="49"/>
        <n v="35"/>
        <n v="45"/>
        <n v="40"/>
        <n v="32"/>
        <n v="33"/>
        <n v="26"/>
        <n v="20"/>
        <n v="28"/>
        <n v="30"/>
      </sharedItems>
    </cacheField>
    <cacheField name="Profit Margin" numFmtId="9">
      <sharedItems containsSemiMixedTypes="0" containsString="0" containsNumber="1" minValue="0.13591417224975161" maxValue="0.37975038097996117" count="50">
        <n v="0.17802640343971415"/>
        <n v="0.13591417224975161"/>
        <n v="0.19442012832892636"/>
        <n v="0.16708043961729296"/>
        <n v="0.29910895993016834"/>
        <n v="0.23170230912594372"/>
        <n v="0.20146368742249993"/>
        <n v="0.28078467703128723"/>
        <n v="0.23903052151423174"/>
        <n v="0.26599502745260539"/>
        <n v="0.28354468083560663"/>
        <n v="0.21300204736748982"/>
        <n v="0.25542924047286325"/>
        <n v="0.18440409462716939"/>
        <n v="0.16107853597585348"/>
        <n v="0.36665528122881164"/>
        <n v="0.22679083361256935"/>
        <n v="0.24349326527532655"/>
        <n v="0.18233497731920359"/>
        <n v="0.31862408946391663"/>
        <n v="0.24688872166772788"/>
        <n v="0.36144285807662496"/>
        <n v="0.19963325773295373"/>
        <n v="0.31120044243769968"/>
        <n v="0.1761730340469046"/>
        <n v="0.1561480823407016"/>
        <n v="0.23538576273956929"/>
        <n v="0.3060233975493562"/>
        <n v="0.32586083712989339"/>
        <n v="0.28710747025551003"/>
        <n v="0.37975038097996117"/>
        <n v="0.26080103738675969"/>
        <n v="0.23934519852026118"/>
        <n v="0.27645881324261107"/>
        <n v="0.23189728409483101"/>
        <n v="0.28205116792479706"/>
        <n v="0.21014240007512391"/>
        <n v="0.36363553422682859"/>
        <n v="0.18255658354796472"/>
        <n v="0.22858313546678993"/>
        <n v="0.28338061583975876"/>
        <n v="0.1631590857660104"/>
        <n v="0.20472066241553249"/>
        <n v="0.21041769968363491"/>
        <n v="0.1653262172145831"/>
        <n v="0.19761785607046342"/>
        <n v="0.14521247694229777"/>
        <n v="0.17981482356275685"/>
        <n v="0.24954462011356035"/>
        <n v="0.21484761637440725"/>
      </sharedItems>
    </cacheField>
    <cacheField name="Profit per Employee" numFmtId="164">
      <sharedItems containsSemiMixedTypes="0" containsString="0" containsNumber="1" minValue="141.53872053872053" maxValue="572.70873786407765"/>
    </cacheField>
    <cacheField name="Marketing ROI" numFmtId="164">
      <sharedItems containsSemiMixedTypes="0" containsString="0" containsNumber="1" minValue="27.793652555068523" maxValue="113.71631549665473"/>
    </cacheField>
    <cacheField name="R&amp;D ROI" numFmtId="164">
      <sharedItems containsSemiMixedTypes="0" containsString="0" containsNumber="1" minValue="21.112615037813416" maxValue="72.123091904173691"/>
    </cacheField>
    <cacheField name="Profit per Dollar Spent" numFmtId="0">
      <sharedItems containsNonDate="0" containsString="0" containsBlank="1"/>
    </cacheField>
  </cacheFields>
  <extLst>
    <ext xmlns:x14="http://schemas.microsoft.com/office/spreadsheetml/2009/9/main" uri="{725AE2AE-9491-48be-B2B4-4EB974FC3084}">
      <x14:pivotCacheDefinition pivotCacheId="629482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167684"/>
    <n v="96524"/>
    <x v="0"/>
    <x v="0"/>
    <n v="278"/>
    <x v="0"/>
    <x v="0"/>
    <n v="169.19424460431654"/>
    <n v="48.72984957109113"/>
    <n v="28.050380477564946"/>
    <m/>
  </r>
  <r>
    <x v="1"/>
    <n v="180067"/>
    <n v="132932"/>
    <x v="1"/>
    <x v="1"/>
    <n v="164"/>
    <x v="1"/>
    <x v="1"/>
    <n v="259.39634146341461"/>
    <n v="32.002076249511028"/>
    <n v="23.625095103489258"/>
    <m/>
  </r>
  <r>
    <x v="2"/>
    <n v="105431"/>
    <n v="116187"/>
    <x v="2"/>
    <x v="2"/>
    <n v="181"/>
    <x v="2"/>
    <x v="2"/>
    <n v="238.04972375690608"/>
    <n v="37.084183256302339"/>
    <n v="40.867486792309663"/>
    <m/>
  </r>
  <r>
    <x v="3"/>
    <n v="171035"/>
    <n v="107298"/>
    <x v="0"/>
    <x v="3"/>
    <n v="285"/>
    <x v="3"/>
    <x v="3"/>
    <n v="163.1719298245614"/>
    <n v="43.340975600663576"/>
    <n v="27.189756482591282"/>
    <m/>
  </r>
  <r>
    <x v="4"/>
    <n v="121645"/>
    <n v="82274"/>
    <x v="3"/>
    <x v="4"/>
    <n v="201"/>
    <x v="4"/>
    <x v="4"/>
    <n v="303.45273631840797"/>
    <n v="74.135206748182895"/>
    <n v="50.140984010851255"/>
    <m/>
  </r>
  <r>
    <x v="5"/>
    <n v="105622"/>
    <n v="84320"/>
    <x v="4"/>
    <x v="5"/>
    <n v="103"/>
    <x v="5"/>
    <x v="5"/>
    <n v="427.28155339805824"/>
    <n v="52.194022770398483"/>
    <n v="41.667455643710589"/>
    <m/>
  </r>
  <r>
    <x v="6"/>
    <n v="150466"/>
    <n v="96308"/>
    <x v="4"/>
    <x v="6"/>
    <n v="256"/>
    <x v="6"/>
    <x v="6"/>
    <n v="194.203125"/>
    <n v="51.621879802300953"/>
    <n v="33.041351534565948"/>
    <m/>
  </r>
  <r>
    <x v="7"/>
    <n v="111609"/>
    <n v="110750"/>
    <x v="5"/>
    <x v="7"/>
    <n v="197"/>
    <x v="7"/>
    <x v="7"/>
    <n v="316.92893401015226"/>
    <n v="56.37471783295711"/>
    <n v="55.940829144603029"/>
    <m/>
  </r>
  <r>
    <x v="8"/>
    <n v="183704"/>
    <n v="105895"/>
    <x v="4"/>
    <x v="8"/>
    <n v="138"/>
    <x v="8"/>
    <x v="8"/>
    <n v="501.6159420289855"/>
    <n v="65.36946975777893"/>
    <n v="37.681814222880284"/>
    <m/>
  </r>
  <r>
    <x v="9"/>
    <n v="116466"/>
    <n v="76594"/>
    <x v="6"/>
    <x v="9"/>
    <n v="173"/>
    <x v="9"/>
    <x v="9"/>
    <n v="296.83815028901734"/>
    <n v="67.045721596991939"/>
    <n v="44.092696580976423"/>
    <m/>
  </r>
  <r>
    <x v="10"/>
    <n v="172907"/>
    <n v="102390"/>
    <x v="3"/>
    <x v="10"/>
    <n v="232"/>
    <x v="10"/>
    <x v="10"/>
    <n v="336.46120689655174"/>
    <n v="76.236937200898524"/>
    <n v="45.145077989902092"/>
    <m/>
  </r>
  <r>
    <x v="11"/>
    <n v="131660"/>
    <n v="145281"/>
    <x v="7"/>
    <x v="11"/>
    <n v="103"/>
    <x v="10"/>
    <x v="11"/>
    <n v="572.70873786407765"/>
    <n v="40.603382410638694"/>
    <n v="44.804040710922074"/>
    <m/>
  </r>
  <r>
    <x v="12"/>
    <n v="100453"/>
    <n v="137840"/>
    <x v="1"/>
    <x v="12"/>
    <n v="289"/>
    <x v="3"/>
    <x v="12"/>
    <n v="210.61245674740485"/>
    <n v="44.157719094602434"/>
    <n v="60.592515902959597"/>
    <m/>
  </r>
  <r>
    <x v="13"/>
    <n v="146080"/>
    <n v="128133"/>
    <x v="6"/>
    <x v="13"/>
    <n v="143"/>
    <x v="6"/>
    <x v="13"/>
    <n v="353.60839160839163"/>
    <n v="39.463682267643776"/>
    <n v="34.61527929901424"/>
    <m/>
  </r>
  <r>
    <x v="14"/>
    <n v="169022"/>
    <n v="148705"/>
    <x v="6"/>
    <x v="14"/>
    <n v="236"/>
    <x v="11"/>
    <x v="14"/>
    <n v="216.86016949152543"/>
    <n v="34.416462122995192"/>
    <n v="30.279490243873582"/>
    <m/>
  </r>
  <r>
    <x v="15"/>
    <n v="103365"/>
    <n v="92792"/>
    <x v="0"/>
    <x v="15"/>
    <n v="209"/>
    <x v="12"/>
    <x v="15"/>
    <n v="344.1244019138756"/>
    <n v="77.508836968704202"/>
    <n v="69.580612392976349"/>
    <m/>
  </r>
  <r>
    <x v="16"/>
    <n v="128277"/>
    <n v="86595"/>
    <x v="6"/>
    <x v="16"/>
    <n v="294"/>
    <x v="13"/>
    <x v="16"/>
    <n v="165.75170068027211"/>
    <n v="56.27461169813499"/>
    <n v="37.988883431948054"/>
    <m/>
  </r>
  <r>
    <x v="17"/>
    <n v="157091"/>
    <n v="147747"/>
    <x v="1"/>
    <x v="17"/>
    <n v="199"/>
    <x v="7"/>
    <x v="17"/>
    <n v="372.99497487437185"/>
    <n v="50.238583524538569"/>
    <n v="47.250319878287108"/>
    <m/>
  </r>
  <r>
    <x v="18"/>
    <n v="179268"/>
    <n v="78439"/>
    <x v="2"/>
    <x v="18"/>
    <n v="270"/>
    <x v="14"/>
    <x v="18"/>
    <n v="174.03333333333333"/>
    <n v="59.905149224237938"/>
    <n v="26.211593814847046"/>
    <m/>
  </r>
  <r>
    <x v="19"/>
    <n v="114414"/>
    <n v="94117"/>
    <x v="6"/>
    <x v="19"/>
    <n v="168"/>
    <x v="2"/>
    <x v="19"/>
    <n v="395.49404761904759"/>
    <n v="70.596172848688326"/>
    <n v="58.072438687573204"/>
    <m/>
  </r>
  <r>
    <x v="20"/>
    <n v="114242"/>
    <n v="127620"/>
    <x v="4"/>
    <x v="20"/>
    <n v="185"/>
    <x v="15"/>
    <x v="20"/>
    <n v="322.77297297297298"/>
    <n v="46.789688136655698"/>
    <n v="52.26886784194955"/>
    <m/>
  </r>
  <r>
    <x v="21"/>
    <n v="115505"/>
    <n v="98681"/>
    <x v="7"/>
    <x v="21"/>
    <n v="261"/>
    <x v="14"/>
    <x v="21"/>
    <n v="296.61302681992339"/>
    <n v="78.450765598240807"/>
    <n v="67.023938357646855"/>
    <m/>
  </r>
  <r>
    <x v="22"/>
    <n v="158052"/>
    <n v="132070"/>
    <x v="3"/>
    <x v="22"/>
    <n v="271"/>
    <x v="10"/>
    <x v="22"/>
    <n v="213.71955719557195"/>
    <n v="43.854016809267819"/>
    <n v="36.644901677928779"/>
    <m/>
  </r>
  <r>
    <x v="23"/>
    <n v="114213"/>
    <n v="128081"/>
    <x v="4"/>
    <x v="23"/>
    <n v="268"/>
    <x v="5"/>
    <x v="23"/>
    <n v="281.35074626865674"/>
    <n v="58.870558474715217"/>
    <n v="66.018754432507691"/>
    <m/>
  </r>
  <r>
    <x v="24"/>
    <n v="103544"/>
    <n v="135068"/>
    <x v="1"/>
    <x v="24"/>
    <n v="297"/>
    <x v="7"/>
    <x v="24"/>
    <n v="141.53872053872053"/>
    <n v="31.122841827820064"/>
    <n v="40.598199799119215"/>
    <m/>
  </r>
  <r>
    <x v="25"/>
    <n v="112457"/>
    <n v="144184"/>
    <x v="0"/>
    <x v="25"/>
    <n v="264"/>
    <x v="8"/>
    <x v="25"/>
    <n v="151.79545454545453"/>
    <n v="27.793652555068523"/>
    <n v="35.634953804565299"/>
    <m/>
  </r>
  <r>
    <x v="26"/>
    <n v="112875"/>
    <n v="82893"/>
    <x v="0"/>
    <x v="26"/>
    <n v="167"/>
    <x v="11"/>
    <x v="26"/>
    <n v="275.93413173652692"/>
    <n v="55.590942540383381"/>
    <n v="40.824806201550388"/>
    <m/>
  </r>
  <r>
    <x v="27"/>
    <n v="123192"/>
    <n v="111277"/>
    <x v="6"/>
    <x v="27"/>
    <n v="234"/>
    <x v="9"/>
    <x v="27"/>
    <n v="306.63675213675214"/>
    <n v="64.481429226165332"/>
    <n v="58.244853561919605"/>
    <m/>
  </r>
  <r>
    <x v="28"/>
    <n v="137724"/>
    <n v="77822"/>
    <x v="3"/>
    <x v="28"/>
    <n v="270"/>
    <x v="16"/>
    <x v="28"/>
    <n v="260.14074074074074"/>
    <n v="90.254683765516177"/>
    <n v="50.999099648572511"/>
    <m/>
  </r>
  <r>
    <x v="29"/>
    <n v="119630"/>
    <n v="116212"/>
    <x v="6"/>
    <x v="29"/>
    <n v="237"/>
    <x v="3"/>
    <x v="29"/>
    <n v="285.70464135021098"/>
    <n v="58.265927787147632"/>
    <n v="56.601186993229128"/>
    <m/>
  </r>
  <r>
    <x v="30"/>
    <n v="110909"/>
    <n v="99732"/>
    <x v="2"/>
    <x v="30"/>
    <n v="168"/>
    <x v="8"/>
    <x v="30"/>
    <n v="476.13690476190476"/>
    <n v="80.205951951229295"/>
    <n v="72.123091904173691"/>
    <m/>
  </r>
  <r>
    <x v="31"/>
    <n v="147174"/>
    <n v="131989"/>
    <x v="5"/>
    <x v="31"/>
    <n v="208"/>
    <x v="17"/>
    <x v="31"/>
    <n v="350.02884615384613"/>
    <n v="55.160657327504566"/>
    <n v="49.469335616345276"/>
    <m/>
  </r>
  <r>
    <x v="32"/>
    <n v="133356"/>
    <n v="101280"/>
    <x v="2"/>
    <x v="32"/>
    <n v="291"/>
    <x v="18"/>
    <x v="32"/>
    <n v="192.98625429553263"/>
    <n v="55.449249605055293"/>
    <n v="42.112090944539425"/>
    <m/>
  </r>
  <r>
    <x v="33"/>
    <n v="136928"/>
    <n v="88375"/>
    <x v="1"/>
    <x v="33"/>
    <n v="235"/>
    <x v="1"/>
    <x v="33"/>
    <n v="265.05106382978721"/>
    <n v="70.480339462517676"/>
    <n v="45.488870063098858"/>
    <m/>
  </r>
  <r>
    <x v="34"/>
    <n v="171059"/>
    <n v="130277"/>
    <x v="3"/>
    <x v="34"/>
    <n v="182"/>
    <x v="16"/>
    <x v="34"/>
    <n v="383.95054945054943"/>
    <n v="53.63878505031586"/>
    <n v="40.850817554177219"/>
    <m/>
  </r>
  <r>
    <x v="35"/>
    <n v="126584"/>
    <n v="98088"/>
    <x v="3"/>
    <x v="35"/>
    <n v="143"/>
    <x v="1"/>
    <x v="35"/>
    <n v="443.13986013986016"/>
    <n v="64.604232933692202"/>
    <n v="50.060829172723253"/>
    <m/>
  </r>
  <r>
    <x v="36"/>
    <n v="166674"/>
    <n v="131500"/>
    <x v="7"/>
    <x v="36"/>
    <n v="257"/>
    <x v="1"/>
    <x v="36"/>
    <n v="243.80933852140078"/>
    <n v="47.649429657794677"/>
    <n v="37.593745875181497"/>
    <m/>
  </r>
  <r>
    <x v="37"/>
    <n v="149115"/>
    <n v="70099"/>
    <x v="5"/>
    <x v="37"/>
    <n v="158"/>
    <x v="7"/>
    <x v="37"/>
    <n v="504.51898734177217"/>
    <n v="113.71631549665473"/>
    <n v="53.458069275391473"/>
    <m/>
  </r>
  <r>
    <x v="38"/>
    <n v="162748"/>
    <n v="115248"/>
    <x v="2"/>
    <x v="38"/>
    <n v="170"/>
    <x v="16"/>
    <x v="38"/>
    <n v="298.52941176470586"/>
    <n v="44.035471331389701"/>
    <n v="31.183178902352104"/>
    <m/>
  </r>
  <r>
    <x v="39"/>
    <n v="163062"/>
    <n v="122484"/>
    <x v="7"/>
    <x v="39"/>
    <n v="262"/>
    <x v="11"/>
    <x v="39"/>
    <n v="249.12595419847329"/>
    <n v="53.289409228960515"/>
    <n v="40.028332781396031"/>
    <m/>
  </r>
  <r>
    <x v="40"/>
    <n v="199724"/>
    <n v="80154"/>
    <x v="5"/>
    <x v="40"/>
    <n v="229"/>
    <x v="19"/>
    <x v="40"/>
    <n v="346.34061135371178"/>
    <n v="98.949522169823084"/>
    <n v="39.710800905249243"/>
    <m/>
  </r>
  <r>
    <x v="41"/>
    <n v="189237"/>
    <n v="142188"/>
    <x v="4"/>
    <x v="41"/>
    <n v="257"/>
    <x v="9"/>
    <x v="41"/>
    <n v="210.40856031128405"/>
    <n v="38.030635496666385"/>
    <n v="28.575278618874744"/>
    <m/>
  </r>
  <r>
    <x v="42"/>
    <n v="169724"/>
    <n v="145486"/>
    <x v="6"/>
    <x v="42"/>
    <n v="155"/>
    <x v="20"/>
    <x v="42"/>
    <n v="416.32258064516128"/>
    <n v="44.354783278116102"/>
    <n v="38.020551012231621"/>
    <m/>
  </r>
  <r>
    <x v="43"/>
    <n v="175675"/>
    <n v="110703"/>
    <x v="7"/>
    <x v="43"/>
    <n v="127"/>
    <x v="5"/>
    <x v="43"/>
    <n v="474.48031496062993"/>
    <n v="54.433032528477099"/>
    <n v="34.301408851572504"/>
    <m/>
  </r>
  <r>
    <x v="44"/>
    <n v="194770"/>
    <n v="129002"/>
    <x v="3"/>
    <x v="44"/>
    <n v="258"/>
    <x v="8"/>
    <x v="44"/>
    <n v="207.47286821705427"/>
    <n v="41.493930326661605"/>
    <n v="27.482671869384401"/>
    <m/>
  </r>
  <r>
    <x v="45"/>
    <n v="198980"/>
    <n v="100750"/>
    <x v="1"/>
    <x v="45"/>
    <n v="136"/>
    <x v="7"/>
    <x v="45"/>
    <n v="435.52941176470586"/>
    <n v="58.791066997518612"/>
    <n v="29.76781586089054"/>
    <m/>
  </r>
  <r>
    <x v="46"/>
    <n v="198739"/>
    <n v="90210"/>
    <x v="7"/>
    <x v="46"/>
    <n v="154"/>
    <x v="4"/>
    <x v="46"/>
    <n v="272.46103896103898"/>
    <n v="46.512581753685843"/>
    <n v="21.112615037813416"/>
    <m/>
  </r>
  <r>
    <x v="47"/>
    <n v="184839"/>
    <n v="111527"/>
    <x v="2"/>
    <x v="47"/>
    <n v="151"/>
    <x v="21"/>
    <x v="47"/>
    <n v="352.92052980132451"/>
    <n v="47.783048051144569"/>
    <n v="28.83103674008191"/>
    <m/>
  </r>
  <r>
    <x v="48"/>
    <n v="182772"/>
    <n v="98312"/>
    <x v="2"/>
    <x v="48"/>
    <n v="180"/>
    <x v="14"/>
    <x v="48"/>
    <n v="389.68333333333334"/>
    <n v="71.347343152412719"/>
    <n v="38.377322565819711"/>
    <m/>
  </r>
  <r>
    <x v="49"/>
    <n v="143455"/>
    <n v="127309"/>
    <x v="0"/>
    <x v="49"/>
    <n v="106"/>
    <x v="20"/>
    <x v="49"/>
    <n v="548.80188679245282"/>
    <n v="45.694334257593724"/>
    <n v="40.55139242271095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3B8B81-A720-4942-8E16-7D252755F6F6}"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2">
  <location ref="J2:L52" firstHeaderRow="0" firstDataRow="1" firstDataCol="1"/>
  <pivotFields count="12">
    <pivotField axis="axisRow"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pivotField dataField="1" compact="0" showAll="0"/>
    <pivotField compact="0" showAll="0"/>
    <pivotField dataField="1" compact="0" showAll="0"/>
    <pivotField compact="0" showAll="0"/>
    <pivotField compact="0" showAll="0"/>
    <pivotField compact="0" numFmtId="9" showAll="0"/>
    <pivotField compact="0" numFmtId="164" showAll="0"/>
    <pivotField compact="0" numFmtId="164" showAll="0"/>
    <pivotField compact="0" numFmtId="164" showAll="0"/>
    <pivotField compact="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2"/>
  </colFields>
  <colItems count="2">
    <i>
      <x/>
    </i>
    <i i="1">
      <x v="1"/>
    </i>
  </colItems>
  <dataFields count="2">
    <dataField name="Sum of Marketing Amount (in $)" fld="2" baseField="0" baseItem="0"/>
    <dataField name="Sum of Profit (in $)" fld="4"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CA32D2-1AA4-451D-ACC5-CE7DFC63CC27}"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3:D13" firstHeaderRow="0" firstDataRow="1" firstDataCol="1" rowPageCount="1" colPageCount="1"/>
  <pivotFields count="12">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showAll="0"/>
    <pivotField dataField="1" showAll="0"/>
    <pivotField showAll="0"/>
    <pivotField axis="axisPage" multipleItemSelectionAllowed="1" showAll="0">
      <items count="23">
        <item x="19"/>
        <item x="18"/>
        <item x="3"/>
        <item x="20"/>
        <item x="2"/>
        <item x="21"/>
        <item h="1" x="9"/>
        <item h="1" x="16"/>
        <item h="1" x="17"/>
        <item h="1" x="13"/>
        <item h="1" x="8"/>
        <item h="1" x="1"/>
        <item h="1" x="0"/>
        <item h="1" x="15"/>
        <item h="1" x="5"/>
        <item h="1" x="6"/>
        <item h="1" x="7"/>
        <item h="1" x="10"/>
        <item h="1" x="14"/>
        <item h="1" x="11"/>
        <item h="1" x="12"/>
        <item h="1" x="4"/>
        <item t="default"/>
      </items>
    </pivotField>
    <pivotField numFmtId="9" showAll="0"/>
    <pivotField numFmtId="164" showAll="0"/>
    <pivotField numFmtId="164" showAll="0"/>
    <pivotField numFmtId="164" showAll="0"/>
    <pivotField showAll="0"/>
  </pivotFields>
  <rowFields count="1">
    <field x="0"/>
  </rowFields>
  <rowItems count="10">
    <i>
      <x v="2"/>
    </i>
    <i>
      <x v="3"/>
    </i>
    <i>
      <x v="12"/>
    </i>
    <i>
      <x v="19"/>
    </i>
    <i>
      <x v="29"/>
    </i>
    <i>
      <x v="32"/>
    </i>
    <i>
      <x v="40"/>
    </i>
    <i>
      <x v="42"/>
    </i>
    <i>
      <x v="47"/>
    </i>
    <i>
      <x v="49"/>
    </i>
  </rowItems>
  <colFields count="1">
    <field x="-2"/>
  </colFields>
  <colItems count="3">
    <i>
      <x/>
    </i>
    <i i="1">
      <x v="1"/>
    </i>
    <i i="2">
      <x v="2"/>
    </i>
  </colItems>
  <pageFields count="1">
    <pageField fld="6" hier="-1"/>
  </pageFields>
  <dataFields count="3">
    <dataField name="Sum of Marketing Amount (in $)" fld="2" baseField="0" baseItem="0"/>
    <dataField name="Sum of R&amp;D Amount (in $)" fld="1" baseField="0" baseItem="0"/>
    <dataField name="Sum of Profit (in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63B48-82A4-4F53-953E-6081D3AE435F}" name="PivotTable6" cacheId="4"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outline="1" outlineData="1" compactData="0" multipleFieldFilters="0" chartFormat="15">
  <location ref="O3:P53" firstHeaderRow="1" firstDataRow="1" firstDataCol="1"/>
  <pivotFields count="12">
    <pivotField axis="axisRow"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pivotField compact="0" showAll="0"/>
    <pivotField compact="0" showAll="0"/>
    <pivotField compact="0" showAll="0"/>
    <pivotField compact="0" showAll="0"/>
    <pivotField compact="0" showAll="0"/>
    <pivotField dataField="1" compact="0" numFmtId="9" showAll="0"/>
    <pivotField compact="0" numFmtId="164" showAll="0"/>
    <pivotField compact="0" numFmtId="164" showAll="0"/>
    <pivotField compact="0" numFmtId="164" showAll="0"/>
    <pivotField compact="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Profit Margin" fld="7" baseField="0" baseItem="0" numFmtId="9"/>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D74AD-3A02-4E70-9623-305AD8A8F76B}" name="PivotTable14" cacheId="4"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outline="1" outlineData="1" compactData="0" multipleFieldFilters="0" chartFormat="14">
  <location ref="S3:T53" firstHeaderRow="1" firstDataRow="1" firstDataCol="1"/>
  <pivotFields count="12">
    <pivotField axis="axisRow"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numFmtId="164" showAll="0"/>
    <pivotField compact="0" numFmtId="164" showAll="0"/>
    <pivotField compact="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Profit per Employee" fld="8"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CD0A7-A0B7-43BA-A957-3E319EB1F657}" name="PivotTable5"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F3:H54" firstHeaderRow="0" firstDataRow="1" firstDataCol="1"/>
  <pivotFields count="12">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dataField="1" showAll="0"/>
    <pivotField showAll="0"/>
    <pivotField showAll="0"/>
    <pivotField numFmtId="9" showAll="0"/>
    <pivotField numFmtId="164" showAll="0"/>
    <pivotField numFmtId="164" showAll="0"/>
    <pivotField numFmtId="164"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Profit (in $)" fld="4" baseField="0" baseItem="0"/>
    <dataField name="Sum of R&amp;D Amount (in $)" fld="1" baseField="0" baseItem="0"/>
  </dataFields>
  <chartFormats count="8">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3B3367-5154-43D7-95F4-1B0E7C9C7525}"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D3:E11" firstHeaderRow="1" firstDataRow="1" firstDataCol="1"/>
  <pivotFields count="12">
    <pivotField compact="0"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compact="0" numFmtId="165" outline="0" showAll="0" defaultSubtotal="0"/>
    <pivotField compact="0" numFmtId="165" outline="0" showAll="0" defaultSubtotal="0"/>
    <pivotField axis="axisRow" compact="0" outline="0" showAll="0" defaultSubtotal="0">
      <items count="8">
        <item x="1"/>
        <item x="5"/>
        <item x="6"/>
        <item x="0"/>
        <item x="3"/>
        <item x="4"/>
        <item x="7"/>
        <item x="2"/>
      </items>
    </pivotField>
    <pivotField compact="0" numFmtId="165" outline="0" showAll="0" defaultSubtotal="0">
      <items count="50">
        <item x="25"/>
        <item x="46"/>
        <item x="24"/>
        <item x="1"/>
        <item x="2"/>
        <item x="5"/>
        <item x="26"/>
        <item x="3"/>
        <item x="18"/>
        <item x="0"/>
        <item x="16"/>
        <item x="6"/>
        <item x="13"/>
        <item x="38"/>
        <item x="14"/>
        <item x="9"/>
        <item x="47"/>
        <item x="44"/>
        <item x="41"/>
        <item x="32"/>
        <item x="22"/>
        <item x="49"/>
        <item x="11"/>
        <item x="45"/>
        <item x="20"/>
        <item x="43"/>
        <item x="12"/>
        <item x="4"/>
        <item x="33"/>
        <item x="7"/>
        <item x="36"/>
        <item x="35"/>
        <item x="42"/>
        <item x="39"/>
        <item x="19"/>
        <item x="29"/>
        <item x="8"/>
        <item x="34"/>
        <item x="48"/>
        <item x="28"/>
        <item x="27"/>
        <item x="15"/>
        <item x="31"/>
        <item x="17"/>
        <item x="23"/>
        <item x="21"/>
        <item x="10"/>
        <item x="40"/>
        <item x="37"/>
        <item x="30"/>
      </items>
    </pivotField>
    <pivotField compact="0" outline="0" showAll="0" defaultSubtotal="0"/>
    <pivotField compact="0" outline="0" showAll="0" defaultSubtotal="0">
      <items count="22">
        <item x="19"/>
        <item x="18"/>
        <item x="3"/>
        <item x="20"/>
        <item x="2"/>
        <item x="21"/>
        <item x="9"/>
        <item x="16"/>
        <item x="17"/>
        <item x="13"/>
        <item x="8"/>
        <item x="1"/>
        <item x="0"/>
        <item x="15"/>
        <item x="5"/>
        <item x="6"/>
        <item x="7"/>
        <item x="10"/>
        <item x="14"/>
        <item x="11"/>
        <item x="12"/>
        <item x="4"/>
      </items>
    </pivotField>
    <pivotField compact="0" numFmtId="9" outline="0" showAll="0" defaultSubtotal="0">
      <items count="50">
        <item x="1"/>
        <item x="46"/>
        <item x="25"/>
        <item x="14"/>
        <item x="41"/>
        <item x="44"/>
        <item x="3"/>
        <item x="24"/>
        <item x="0"/>
        <item x="47"/>
        <item x="18"/>
        <item x="38"/>
        <item x="13"/>
        <item x="2"/>
        <item x="45"/>
        <item x="22"/>
        <item x="6"/>
        <item x="42"/>
        <item x="36"/>
        <item x="43"/>
        <item x="11"/>
        <item x="49"/>
        <item x="16"/>
        <item x="39"/>
        <item x="5"/>
        <item x="34"/>
        <item x="26"/>
        <item x="8"/>
        <item x="32"/>
        <item x="17"/>
        <item x="20"/>
        <item x="48"/>
        <item x="12"/>
        <item x="31"/>
        <item x="9"/>
        <item x="33"/>
        <item x="7"/>
        <item x="35"/>
        <item x="40"/>
        <item x="10"/>
        <item x="29"/>
        <item x="4"/>
        <item x="27"/>
        <item x="23"/>
        <item x="19"/>
        <item x="28"/>
        <item x="21"/>
        <item x="37"/>
        <item x="15"/>
        <item x="30"/>
      </items>
    </pivotField>
    <pivotField compact="0" numFmtId="164" outline="0" showAll="0" defaultSubtotal="0"/>
    <pivotField compact="0" numFmtId="164" outline="0" showAll="0" defaultSubtotal="0"/>
    <pivotField compact="0" numFmtId="164" outline="0" showAll="0" defaultSubtotal="0"/>
    <pivotField compact="0" outline="0" showAll="0" defaultSubtotal="0"/>
  </pivotFields>
  <rowFields count="1">
    <field x="3"/>
  </rowFields>
  <rowItems count="8">
    <i>
      <x/>
    </i>
    <i>
      <x v="1"/>
    </i>
    <i>
      <x v="2"/>
    </i>
    <i>
      <x v="3"/>
    </i>
    <i>
      <x v="4"/>
    </i>
    <i>
      <x v="5"/>
    </i>
    <i>
      <x v="6"/>
    </i>
    <i>
      <x v="7"/>
    </i>
  </rowItems>
  <colItems count="1">
    <i/>
  </colItems>
  <dataFields count="1">
    <dataField name="Sum of R&amp;D Amount (in $)" fld="1" baseField="0" baseItem="0" numFmtId="165"/>
  </dataFields>
  <chartFormats count="2">
    <chartFormat chart="3" format="6"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1E7026-99C1-40A1-8529-0E6AB5A1631C}"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8">
  <location ref="A2:B52" firstHeaderRow="1" firstDataRow="1" firstDataCol="1"/>
  <pivotFields count="12">
    <pivotField axis="axisRow" compact="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numFmtId="165" showAll="0"/>
    <pivotField compact="0" numFmtId="165" showAll="0"/>
    <pivotField compact="0" showAll="0"/>
    <pivotField compact="0" numFmtId="165" showAll="0"/>
    <pivotField compact="0" showAll="0"/>
    <pivotField compact="0" showAll="0"/>
    <pivotField compact="0" numFmtId="9" showAll="0"/>
    <pivotField compact="0" numFmtId="164" showAll="0"/>
    <pivotField compact="0" numFmtId="164" showAll="0"/>
    <pivotField dataField="1" compact="0" numFmtId="164" showAll="0"/>
    <pivotField compact="0"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RD ROI" fld="10"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A320AB-5B88-4636-AB54-B9C07013BB8B}"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I25" firstHeaderRow="1" firstDataRow="1" firstDataCol="1"/>
  <pivotFields count="12">
    <pivotField showAll="0"/>
    <pivotField numFmtId="165" showAll="0"/>
    <pivotField numFmtId="165" showAll="0"/>
    <pivotField showAll="0"/>
    <pivotField dataField="1" numFmtId="165" showAll="0">
      <items count="51">
        <item x="25"/>
        <item x="46"/>
        <item x="24"/>
        <item x="1"/>
        <item x="2"/>
        <item x="5"/>
        <item x="26"/>
        <item x="3"/>
        <item x="18"/>
        <item x="0"/>
        <item x="16"/>
        <item x="6"/>
        <item x="13"/>
        <item x="38"/>
        <item x="14"/>
        <item x="9"/>
        <item x="47"/>
        <item x="44"/>
        <item x="41"/>
        <item x="32"/>
        <item x="22"/>
        <item x="49"/>
        <item x="11"/>
        <item x="45"/>
        <item x="20"/>
        <item x="43"/>
        <item x="12"/>
        <item x="4"/>
        <item x="33"/>
        <item x="7"/>
        <item x="36"/>
        <item x="35"/>
        <item x="42"/>
        <item x="39"/>
        <item x="19"/>
        <item x="29"/>
        <item x="8"/>
        <item x="34"/>
        <item x="48"/>
        <item x="28"/>
        <item x="27"/>
        <item x="15"/>
        <item x="31"/>
        <item x="17"/>
        <item x="23"/>
        <item x="21"/>
        <item x="10"/>
        <item x="40"/>
        <item x="37"/>
        <item x="30"/>
        <item t="default"/>
      </items>
    </pivotField>
    <pivotField showAll="0"/>
    <pivotField axis="axisRow" showAll="0">
      <items count="23">
        <item x="19"/>
        <item x="18"/>
        <item x="3"/>
        <item x="20"/>
        <item x="2"/>
        <item x="21"/>
        <item x="9"/>
        <item x="16"/>
        <item x="17"/>
        <item x="13"/>
        <item x="8"/>
        <item x="1"/>
        <item x="0"/>
        <item x="15"/>
        <item x="5"/>
        <item x="6"/>
        <item x="7"/>
        <item x="10"/>
        <item x="14"/>
        <item x="11"/>
        <item x="12"/>
        <item x="4"/>
        <item t="default"/>
      </items>
    </pivotField>
    <pivotField numFmtId="9" showAll="0"/>
    <pivotField numFmtId="164" showAll="0"/>
    <pivotField numFmtId="164" showAll="0"/>
    <pivotField numFmtId="164" showAll="0"/>
    <pivotField showAll="0"/>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Profit (in $)" fld="4" baseField="0" baseItem="0" numFmtId="165"/>
  </dataFields>
  <chartFormats count="1">
    <chartFormat chart="0"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456353AC-8FFA-4331-B0BA-26EF0C728645}" sourceName="State">
  <pivotTables>
    <pivotTable tabId="2" name="PivotTable14"/>
    <pivotTable tabId="2" name="PivotTable1"/>
    <pivotTable tabId="2" name="PivotTable4"/>
    <pivotTable tabId="2" name="PivotTable5"/>
    <pivotTable tabId="2" name="PivotTable6"/>
  </pivotTables>
  <data>
    <tabular pivotCacheId="629482600">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A4C0E03-AC11-4559-A569-85F00A546943}" cache="Slicer_State1"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93DF6-024D-4344-8B21-4A91191C7973}" name="Table1" displayName="Table1" ref="A1:L51" totalsRowShown="0" headerRowDxfId="10" headerRowBorderDxfId="9" tableBorderDxfId="8">
  <autoFilter ref="A1:L51" xr:uid="{79E93DF6-024D-4344-8B21-4A91191C7973}"/>
  <sortState xmlns:xlrd2="http://schemas.microsoft.com/office/spreadsheetml/2017/richdata2" ref="A2:L51">
    <sortCondition descending="1" ref="D1:D51"/>
  </sortState>
  <tableColumns count="12">
    <tableColumn id="1" xr3:uid="{B30E8CEE-F3DE-4491-B8ED-74FD8BB74DD2}" name="State"/>
    <tableColumn id="2" xr3:uid="{B9BF4AAA-4F57-457D-95FC-38D2FA4FF33D}" name="R&amp;D Amount (in $)" dataDxfId="7"/>
    <tableColumn id="3" xr3:uid="{13FDDFC4-3E00-48AA-A664-6AB07CF2F621}" name="Marketing Amount (in $)" dataDxfId="6"/>
    <tableColumn id="4" xr3:uid="{26692D23-7C9F-4B73-AD7D-5BF5498B2623}" name="Campaigns (Count)"/>
    <tableColumn id="5" xr3:uid="{C64BD0DF-9E95-4263-B179-AA762D85DDDF}" name="Profit (in $)" dataDxfId="5" dataCellStyle="Currency"/>
    <tableColumn id="6" xr3:uid="{3A5E70A8-B4AF-47A2-A121-DA014A7B5A69}" name="Employee Count"/>
    <tableColumn id="7" xr3:uid="{F5745979-100F-40E2-8ACD-9374EE35978C}" name="Product Count"/>
    <tableColumn id="8" xr3:uid="{B0F0F268-9C53-466C-B38C-67CE6421122A}" name="Profit Margin" dataCellStyle="Percent">
      <calculatedColumnFormula>Table1[[#This Row],[Profit (in $)]]/(Table1[[#This Row],[R&amp;D Amount (in $)]]+Table1[[#This Row],[Marketing Amount (in $)]])</calculatedColumnFormula>
    </tableColumn>
    <tableColumn id="9" xr3:uid="{341E9FBB-740F-41A3-9F80-9310385035CB}" name="Profit per Employee" dataDxfId="4">
      <calculatedColumnFormula>E2/F2</calculatedColumnFormula>
    </tableColumn>
    <tableColumn id="12" xr3:uid="{5C3F07B5-C417-4F24-9A69-C18689541959}" name="Marketing ROI" dataDxfId="3">
      <calculatedColumnFormula>E2/C2*100</calculatedColumnFormula>
    </tableColumn>
    <tableColumn id="13" xr3:uid="{D4A0A698-8D3F-4AEA-A955-6229A1E31881}" name="R&amp;D ROI" dataDxfId="2" dataCellStyle="Currency">
      <calculatedColumnFormula>E2/B2*100</calculatedColumnFormula>
    </tableColumn>
    <tableColumn id="10" xr3:uid="{6A30090F-28C1-4B4B-BC3E-E0D07ECA8F0F}" name="Profit per Product" dataDxfId="1">
      <calculatedColumnFormula>E2/G2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zoomScale="88" zoomScaleNormal="88" workbookViewId="0">
      <selection activeCell="F9" sqref="F9"/>
    </sheetView>
  </sheetViews>
  <sheetFormatPr defaultRowHeight="14.4" x14ac:dyDescent="0.3"/>
  <cols>
    <col min="1" max="1" width="13.33203125" customWidth="1"/>
    <col min="2" max="2" width="17.5546875" style="9" customWidth="1"/>
    <col min="3" max="3" width="19.6640625" style="9" customWidth="1"/>
    <col min="4" max="4" width="15.5546875" customWidth="1"/>
    <col min="5" max="5" width="14.88671875" style="11" bestFit="1" customWidth="1"/>
    <col min="6" max="6" width="13.77734375" customWidth="1"/>
    <col min="7" max="7" width="14.6640625" customWidth="1"/>
    <col min="8" max="8" width="17.44140625" customWidth="1"/>
    <col min="9" max="9" width="18" customWidth="1"/>
    <col min="10" max="10" width="16.109375" customWidth="1"/>
    <col min="11" max="11" width="12.21875" style="11" customWidth="1"/>
    <col min="12" max="12" width="17.21875" style="5" customWidth="1"/>
    <col min="13" max="13" width="8.88671875" style="12"/>
  </cols>
  <sheetData>
    <row r="1" spans="1:13" x14ac:dyDescent="0.3">
      <c r="A1" s="1" t="s">
        <v>0</v>
      </c>
      <c r="B1" s="8" t="s">
        <v>1</v>
      </c>
      <c r="C1" s="8" t="s">
        <v>2</v>
      </c>
      <c r="D1" s="1" t="s">
        <v>3</v>
      </c>
      <c r="E1" s="10" t="s">
        <v>4</v>
      </c>
      <c r="F1" s="1" t="s">
        <v>5</v>
      </c>
      <c r="G1" s="1" t="s">
        <v>6</v>
      </c>
      <c r="H1" s="1" t="s">
        <v>61</v>
      </c>
      <c r="I1" s="1" t="s">
        <v>62</v>
      </c>
      <c r="J1" s="1" t="s">
        <v>67</v>
      </c>
      <c r="K1" s="10" t="s">
        <v>68</v>
      </c>
      <c r="L1" s="1" t="s">
        <v>70</v>
      </c>
      <c r="M1"/>
    </row>
    <row r="2" spans="1:13" x14ac:dyDescent="0.3">
      <c r="A2" t="s">
        <v>37</v>
      </c>
      <c r="B2" s="9">
        <v>110909</v>
      </c>
      <c r="C2" s="9">
        <v>99732</v>
      </c>
      <c r="D2">
        <v>10</v>
      </c>
      <c r="E2" s="11">
        <v>79991</v>
      </c>
      <c r="F2">
        <v>168</v>
      </c>
      <c r="G2">
        <v>36</v>
      </c>
      <c r="H2" s="5">
        <f>Table1[[#This Row],[Profit (in $)]]/(Table1[[#This Row],[R&amp;D Amount (in $)]]+Table1[[#This Row],[Marketing Amount (in $)]])</f>
        <v>0.37975038097996117</v>
      </c>
      <c r="I2" s="9">
        <f>E2/F2</f>
        <v>476.13690476190476</v>
      </c>
      <c r="J2" s="9">
        <f>E2/C2*100</f>
        <v>80.205951951229295</v>
      </c>
      <c r="K2" s="11">
        <f>E2/B2*100</f>
        <v>72.123091904173691</v>
      </c>
      <c r="L2" s="9">
        <f>E2/G2</f>
        <v>2221.9722222222222</v>
      </c>
      <c r="M2"/>
    </row>
    <row r="3" spans="1:13" x14ac:dyDescent="0.3">
      <c r="A3" t="s">
        <v>55</v>
      </c>
      <c r="B3" s="9">
        <v>182772</v>
      </c>
      <c r="C3" s="9">
        <v>98312</v>
      </c>
      <c r="D3">
        <v>10</v>
      </c>
      <c r="E3" s="11">
        <v>70143</v>
      </c>
      <c r="F3">
        <v>180</v>
      </c>
      <c r="G3">
        <v>45</v>
      </c>
      <c r="H3" s="5">
        <f>Table1[[#This Row],[Profit (in $)]]/(Table1[[#This Row],[R&amp;D Amount (in $)]]+Table1[[#This Row],[Marketing Amount (in $)]])</f>
        <v>0.24954462011356035</v>
      </c>
      <c r="I3" s="9">
        <f>E3/F3</f>
        <v>389.68333333333334</v>
      </c>
      <c r="J3" s="9">
        <f>E3/C3*100</f>
        <v>71.347343152412719</v>
      </c>
      <c r="K3" s="11">
        <f>E3/B3*100</f>
        <v>38.377322565819711</v>
      </c>
      <c r="L3" s="9">
        <f>E3/G3</f>
        <v>1558.7333333333333</v>
      </c>
      <c r="M3"/>
    </row>
    <row r="4" spans="1:13" x14ac:dyDescent="0.3">
      <c r="A4" t="s">
        <v>39</v>
      </c>
      <c r="B4" s="9">
        <v>133356</v>
      </c>
      <c r="C4" s="9">
        <v>101280</v>
      </c>
      <c r="D4">
        <v>10</v>
      </c>
      <c r="E4" s="11">
        <v>56159</v>
      </c>
      <c r="F4">
        <v>291</v>
      </c>
      <c r="G4">
        <v>26</v>
      </c>
      <c r="H4" s="5">
        <f>Table1[[#This Row],[Profit (in $)]]/(Table1[[#This Row],[R&amp;D Amount (in $)]]+Table1[[#This Row],[Marketing Amount (in $)]])</f>
        <v>0.23934519852026118</v>
      </c>
      <c r="I4" s="9">
        <f>E4/F4</f>
        <v>192.98625429553263</v>
      </c>
      <c r="J4" s="9">
        <f>E4/C4*100</f>
        <v>55.449249605055293</v>
      </c>
      <c r="K4" s="11">
        <f>E4/B4*100</f>
        <v>42.112090944539425</v>
      </c>
      <c r="L4" s="9">
        <f>E4/G4</f>
        <v>2159.9615384615386</v>
      </c>
      <c r="M4"/>
    </row>
    <row r="5" spans="1:13" x14ac:dyDescent="0.3">
      <c r="A5" t="s">
        <v>9</v>
      </c>
      <c r="B5" s="9">
        <v>105431</v>
      </c>
      <c r="C5" s="9">
        <v>116187</v>
      </c>
      <c r="D5">
        <v>10</v>
      </c>
      <c r="E5" s="11">
        <v>43087</v>
      </c>
      <c r="F5">
        <v>181</v>
      </c>
      <c r="G5">
        <v>29</v>
      </c>
      <c r="H5" s="5">
        <f>Table1[[#This Row],[Profit (in $)]]/(Table1[[#This Row],[R&amp;D Amount (in $)]]+Table1[[#This Row],[Marketing Amount (in $)]])</f>
        <v>0.19442012832892636</v>
      </c>
      <c r="I5" s="9">
        <f>E5/F5</f>
        <v>238.04972375690608</v>
      </c>
      <c r="J5" s="9">
        <f>E5/C5*100</f>
        <v>37.084183256302339</v>
      </c>
      <c r="K5" s="11">
        <f>E5/B5*100</f>
        <v>40.867486792309663</v>
      </c>
      <c r="L5" s="9">
        <f>E5/G5</f>
        <v>1485.7586206896551</v>
      </c>
      <c r="M5"/>
    </row>
    <row r="6" spans="1:13" x14ac:dyDescent="0.3">
      <c r="A6" t="s">
        <v>45</v>
      </c>
      <c r="B6" s="9">
        <v>162748</v>
      </c>
      <c r="C6" s="9">
        <v>115248</v>
      </c>
      <c r="D6">
        <v>10</v>
      </c>
      <c r="E6" s="11">
        <v>50750</v>
      </c>
      <c r="F6">
        <v>170</v>
      </c>
      <c r="G6">
        <v>32</v>
      </c>
      <c r="H6" s="5">
        <f>Table1[[#This Row],[Profit (in $)]]/(Table1[[#This Row],[R&amp;D Amount (in $)]]+Table1[[#This Row],[Marketing Amount (in $)]])</f>
        <v>0.18255658354796472</v>
      </c>
      <c r="I6" s="9">
        <f>E6/F6</f>
        <v>298.52941176470586</v>
      </c>
      <c r="J6" s="9">
        <f>E6/C6*100</f>
        <v>44.035471331389701</v>
      </c>
      <c r="K6" s="11">
        <f>E6/B6*100</f>
        <v>31.183178902352104</v>
      </c>
      <c r="L6" s="9">
        <f>E6/G6</f>
        <v>1585.9375</v>
      </c>
      <c r="M6"/>
    </row>
    <row r="7" spans="1:13" x14ac:dyDescent="0.3">
      <c r="A7" t="s">
        <v>25</v>
      </c>
      <c r="B7" s="9">
        <v>179268</v>
      </c>
      <c r="C7" s="9">
        <v>78439</v>
      </c>
      <c r="D7">
        <v>10</v>
      </c>
      <c r="E7" s="11">
        <v>46989</v>
      </c>
      <c r="F7">
        <v>270</v>
      </c>
      <c r="G7">
        <v>45</v>
      </c>
      <c r="H7" s="5">
        <f>Table1[[#This Row],[Profit (in $)]]/(Table1[[#This Row],[R&amp;D Amount (in $)]]+Table1[[#This Row],[Marketing Amount (in $)]])</f>
        <v>0.18233497731920359</v>
      </c>
      <c r="I7" s="9">
        <f>E7/F7</f>
        <v>174.03333333333333</v>
      </c>
      <c r="J7" s="9">
        <f>E7/C7*100</f>
        <v>59.905149224237938</v>
      </c>
      <c r="K7" s="11">
        <f>E7/B7*100</f>
        <v>26.211593814847046</v>
      </c>
      <c r="L7" s="9">
        <f>E7/G7</f>
        <v>1044.2</v>
      </c>
      <c r="M7"/>
    </row>
    <row r="8" spans="1:13" x14ac:dyDescent="0.3">
      <c r="A8" t="s">
        <v>54</v>
      </c>
      <c r="B8" s="9">
        <v>184839</v>
      </c>
      <c r="C8" s="9">
        <v>111527</v>
      </c>
      <c r="D8">
        <v>10</v>
      </c>
      <c r="E8" s="11">
        <v>53291</v>
      </c>
      <c r="F8">
        <v>151</v>
      </c>
      <c r="G8">
        <v>30</v>
      </c>
      <c r="H8" s="5">
        <f>Table1[[#This Row],[Profit (in $)]]/(Table1[[#This Row],[R&amp;D Amount (in $)]]+Table1[[#This Row],[Marketing Amount (in $)]])</f>
        <v>0.17981482356275685</v>
      </c>
      <c r="I8" s="9">
        <f>E8/F8</f>
        <v>352.92052980132451</v>
      </c>
      <c r="J8" s="9">
        <f>E8/C8*100</f>
        <v>47.783048051144569</v>
      </c>
      <c r="K8" s="11">
        <f>E8/B8*100</f>
        <v>28.83103674008191</v>
      </c>
      <c r="L8" s="9">
        <f>E8/G8</f>
        <v>1776.3666666666666</v>
      </c>
      <c r="M8"/>
    </row>
    <row r="9" spans="1:13" x14ac:dyDescent="0.3">
      <c r="A9" t="s">
        <v>28</v>
      </c>
      <c r="B9" s="9">
        <v>115505</v>
      </c>
      <c r="C9" s="9">
        <v>98681</v>
      </c>
      <c r="D9">
        <v>9</v>
      </c>
      <c r="E9" s="11">
        <v>77416</v>
      </c>
      <c r="F9">
        <v>261</v>
      </c>
      <c r="G9">
        <v>45</v>
      </c>
      <c r="H9" s="5">
        <f>Table1[[#This Row],[Profit (in $)]]/(Table1[[#This Row],[R&amp;D Amount (in $)]]+Table1[[#This Row],[Marketing Amount (in $)]])</f>
        <v>0.36144285807662496</v>
      </c>
      <c r="I9" s="9">
        <f>E9/F9</f>
        <v>296.61302681992339</v>
      </c>
      <c r="J9" s="9">
        <f>E9/C9*100</f>
        <v>78.450765598240807</v>
      </c>
      <c r="K9" s="11">
        <f>E9/B9*100</f>
        <v>67.023938357646855</v>
      </c>
      <c r="L9" s="9">
        <f>E9/G9</f>
        <v>1720.3555555555556</v>
      </c>
      <c r="M9"/>
    </row>
    <row r="10" spans="1:13" x14ac:dyDescent="0.3">
      <c r="A10" t="s">
        <v>46</v>
      </c>
      <c r="B10" s="9">
        <v>163062</v>
      </c>
      <c r="C10" s="9">
        <v>122484</v>
      </c>
      <c r="D10">
        <v>9</v>
      </c>
      <c r="E10" s="11">
        <v>65271</v>
      </c>
      <c r="F10">
        <v>262</v>
      </c>
      <c r="G10">
        <v>48</v>
      </c>
      <c r="H10" s="5">
        <f>Table1[[#This Row],[Profit (in $)]]/(Table1[[#This Row],[R&amp;D Amount (in $)]]+Table1[[#This Row],[Marketing Amount (in $)]])</f>
        <v>0.22858313546678993</v>
      </c>
      <c r="I10" s="9">
        <f>E10/F10</f>
        <v>249.12595419847329</v>
      </c>
      <c r="J10" s="9">
        <f>E10/C10*100</f>
        <v>53.289409228960515</v>
      </c>
      <c r="K10" s="11">
        <f>E10/B10*100</f>
        <v>40.028332781396031</v>
      </c>
      <c r="L10" s="9">
        <f>E10/G10</f>
        <v>1359.8125</v>
      </c>
      <c r="M10"/>
    </row>
    <row r="11" spans="1:13" x14ac:dyDescent="0.3">
      <c r="A11" t="s">
        <v>18</v>
      </c>
      <c r="B11" s="9">
        <v>131660</v>
      </c>
      <c r="C11" s="9">
        <v>145281</v>
      </c>
      <c r="D11">
        <v>9</v>
      </c>
      <c r="E11" s="11">
        <v>58989</v>
      </c>
      <c r="F11">
        <v>103</v>
      </c>
      <c r="G11">
        <v>44</v>
      </c>
      <c r="H11" s="5">
        <f>Table1[[#This Row],[Profit (in $)]]/(Table1[[#This Row],[R&amp;D Amount (in $)]]+Table1[[#This Row],[Marketing Amount (in $)]])</f>
        <v>0.21300204736748982</v>
      </c>
      <c r="I11" s="9">
        <f>E11/F11</f>
        <v>572.70873786407765</v>
      </c>
      <c r="J11" s="9">
        <f>E11/C11*100</f>
        <v>40.603382410638694</v>
      </c>
      <c r="K11" s="11">
        <f>E11/B11*100</f>
        <v>44.804040710922074</v>
      </c>
      <c r="L11" s="9">
        <f>E11/G11</f>
        <v>1340.659090909091</v>
      </c>
      <c r="M11"/>
    </row>
    <row r="12" spans="1:13" x14ac:dyDescent="0.3">
      <c r="A12" t="s">
        <v>50</v>
      </c>
      <c r="B12" s="9">
        <v>175675</v>
      </c>
      <c r="C12" s="9">
        <v>110703</v>
      </c>
      <c r="D12">
        <v>9</v>
      </c>
      <c r="E12" s="11">
        <v>60259</v>
      </c>
      <c r="F12">
        <v>127</v>
      </c>
      <c r="G12">
        <v>41</v>
      </c>
      <c r="H12" s="5">
        <f>Table1[[#This Row],[Profit (in $)]]/(Table1[[#This Row],[R&amp;D Amount (in $)]]+Table1[[#This Row],[Marketing Amount (in $)]])</f>
        <v>0.21041769968363491</v>
      </c>
      <c r="I12" s="9">
        <f>E12/F12</f>
        <v>474.48031496062993</v>
      </c>
      <c r="J12" s="9">
        <f>E12/C12*100</f>
        <v>54.433032528477099</v>
      </c>
      <c r="K12" s="11">
        <f>E12/B12*100</f>
        <v>34.301408851572504</v>
      </c>
      <c r="L12" s="9">
        <f>E12/G12</f>
        <v>1469.7317073170732</v>
      </c>
      <c r="M12"/>
    </row>
    <row r="13" spans="1:13" x14ac:dyDescent="0.3">
      <c r="A13" t="s">
        <v>43</v>
      </c>
      <c r="B13" s="9">
        <v>166674</v>
      </c>
      <c r="C13" s="9">
        <v>131500</v>
      </c>
      <c r="D13">
        <v>9</v>
      </c>
      <c r="E13" s="11">
        <v>62659</v>
      </c>
      <c r="F13">
        <v>257</v>
      </c>
      <c r="G13">
        <v>37</v>
      </c>
      <c r="H13" s="5">
        <f>Table1[[#This Row],[Profit (in $)]]/(Table1[[#This Row],[R&amp;D Amount (in $)]]+Table1[[#This Row],[Marketing Amount (in $)]])</f>
        <v>0.21014240007512391</v>
      </c>
      <c r="I13" s="9">
        <f>E13/F13</f>
        <v>243.80933852140078</v>
      </c>
      <c r="J13" s="9">
        <f>E13/C13*100</f>
        <v>47.649429657794677</v>
      </c>
      <c r="K13" s="11">
        <f>E13/B13*100</f>
        <v>37.593745875181497</v>
      </c>
      <c r="L13" s="9">
        <f>E13/G13</f>
        <v>1693.4864864864865</v>
      </c>
      <c r="M13"/>
    </row>
    <row r="14" spans="1:13" x14ac:dyDescent="0.3">
      <c r="A14" t="s">
        <v>53</v>
      </c>
      <c r="B14" s="9">
        <v>198739</v>
      </c>
      <c r="C14" s="9">
        <v>90210</v>
      </c>
      <c r="D14">
        <v>9</v>
      </c>
      <c r="E14" s="11">
        <v>41959</v>
      </c>
      <c r="F14">
        <v>154</v>
      </c>
      <c r="G14">
        <v>50</v>
      </c>
      <c r="H14" s="5">
        <f>Table1[[#This Row],[Profit (in $)]]/(Table1[[#This Row],[R&amp;D Amount (in $)]]+Table1[[#This Row],[Marketing Amount (in $)]])</f>
        <v>0.14521247694229777</v>
      </c>
      <c r="I14" s="9">
        <f>E14/F14</f>
        <v>272.46103896103898</v>
      </c>
      <c r="J14" s="9">
        <f>E14/C14*100</f>
        <v>46.512581753685843</v>
      </c>
      <c r="K14" s="11">
        <f>E14/B14*100</f>
        <v>21.112615037813416</v>
      </c>
      <c r="L14" s="9">
        <f>E14/G14</f>
        <v>839.18</v>
      </c>
      <c r="M14"/>
    </row>
    <row r="15" spans="1:13" x14ac:dyDescent="0.3">
      <c r="A15" t="s">
        <v>30</v>
      </c>
      <c r="B15" s="9">
        <v>114213</v>
      </c>
      <c r="C15" s="9">
        <v>128081</v>
      </c>
      <c r="D15">
        <v>8</v>
      </c>
      <c r="E15" s="11">
        <v>75402</v>
      </c>
      <c r="F15">
        <v>268</v>
      </c>
      <c r="G15">
        <v>41</v>
      </c>
      <c r="H15" s="5">
        <f>Table1[[#This Row],[Profit (in $)]]/(Table1[[#This Row],[R&amp;D Amount (in $)]]+Table1[[#This Row],[Marketing Amount (in $)]])</f>
        <v>0.31120044243769968</v>
      </c>
      <c r="I15" s="9">
        <f>E15/F15</f>
        <v>281.35074626865674</v>
      </c>
      <c r="J15" s="9">
        <f>E15/C15*100</f>
        <v>58.870558474715217</v>
      </c>
      <c r="K15" s="11">
        <f>E15/B15*100</f>
        <v>66.018754432507691</v>
      </c>
      <c r="L15" s="9">
        <f>E15/G15</f>
        <v>1839.0731707317073</v>
      </c>
      <c r="M15"/>
    </row>
    <row r="16" spans="1:13" x14ac:dyDescent="0.3">
      <c r="A16" t="s">
        <v>27</v>
      </c>
      <c r="B16" s="9">
        <v>114242</v>
      </c>
      <c r="C16" s="9">
        <v>127620</v>
      </c>
      <c r="D16">
        <v>8</v>
      </c>
      <c r="E16" s="11">
        <v>59713</v>
      </c>
      <c r="F16">
        <v>185</v>
      </c>
      <c r="G16">
        <v>40</v>
      </c>
      <c r="H16" s="5">
        <f>Table1[[#This Row],[Profit (in $)]]/(Table1[[#This Row],[R&amp;D Amount (in $)]]+Table1[[#This Row],[Marketing Amount (in $)]])</f>
        <v>0.24688872166772788</v>
      </c>
      <c r="I16" s="9">
        <f>E16/F16</f>
        <v>322.77297297297298</v>
      </c>
      <c r="J16" s="9">
        <f>E16/C16*100</f>
        <v>46.789688136655698</v>
      </c>
      <c r="K16" s="11">
        <f>E16/B16*100</f>
        <v>52.26886784194955</v>
      </c>
      <c r="L16" s="9">
        <f>E16/G16</f>
        <v>1492.825</v>
      </c>
      <c r="M16"/>
    </row>
    <row r="17" spans="1:13" x14ac:dyDescent="0.3">
      <c r="A17" t="s">
        <v>15</v>
      </c>
      <c r="B17" s="9">
        <v>183704</v>
      </c>
      <c r="C17" s="9">
        <v>105895</v>
      </c>
      <c r="D17">
        <v>8</v>
      </c>
      <c r="E17" s="11">
        <v>69223</v>
      </c>
      <c r="F17">
        <v>138</v>
      </c>
      <c r="G17">
        <v>36</v>
      </c>
      <c r="H17" s="5">
        <f>Table1[[#This Row],[Profit (in $)]]/(Table1[[#This Row],[R&amp;D Amount (in $)]]+Table1[[#This Row],[Marketing Amount (in $)]])</f>
        <v>0.23903052151423174</v>
      </c>
      <c r="I17" s="9">
        <f>E17/F17</f>
        <v>501.6159420289855</v>
      </c>
      <c r="J17" s="9">
        <f>E17/C17*100</f>
        <v>65.36946975777893</v>
      </c>
      <c r="K17" s="11">
        <f>E17/B17*100</f>
        <v>37.681814222880284</v>
      </c>
      <c r="L17" s="9">
        <f>E17/G17</f>
        <v>1922.8611111111111</v>
      </c>
      <c r="M17"/>
    </row>
    <row r="18" spans="1:13" x14ac:dyDescent="0.3">
      <c r="A18" t="s">
        <v>12</v>
      </c>
      <c r="B18" s="9">
        <v>105622</v>
      </c>
      <c r="C18" s="9">
        <v>84320</v>
      </c>
      <c r="D18">
        <v>8</v>
      </c>
      <c r="E18" s="11">
        <v>44010</v>
      </c>
      <c r="F18">
        <v>103</v>
      </c>
      <c r="G18">
        <v>41</v>
      </c>
      <c r="H18" s="5">
        <f>Table1[[#This Row],[Profit (in $)]]/(Table1[[#This Row],[R&amp;D Amount (in $)]]+Table1[[#This Row],[Marketing Amount (in $)]])</f>
        <v>0.23170230912594372</v>
      </c>
      <c r="I18" s="9">
        <f>E18/F18</f>
        <v>427.28155339805824</v>
      </c>
      <c r="J18" s="9">
        <f>E18/C18*100</f>
        <v>52.194022770398483</v>
      </c>
      <c r="K18" s="11">
        <f>E18/B18*100</f>
        <v>41.667455643710589</v>
      </c>
      <c r="L18" s="9">
        <f>E18/G18</f>
        <v>1073.4146341463415</v>
      </c>
      <c r="M18"/>
    </row>
    <row r="19" spans="1:13" x14ac:dyDescent="0.3">
      <c r="A19" t="s">
        <v>13</v>
      </c>
      <c r="B19" s="9">
        <v>150466</v>
      </c>
      <c r="C19" s="9">
        <v>96308</v>
      </c>
      <c r="D19">
        <v>8</v>
      </c>
      <c r="E19" s="11">
        <v>49716</v>
      </c>
      <c r="F19">
        <v>256</v>
      </c>
      <c r="G19">
        <v>42</v>
      </c>
      <c r="H19" s="5">
        <f>Table1[[#This Row],[Profit (in $)]]/(Table1[[#This Row],[R&amp;D Amount (in $)]]+Table1[[#This Row],[Marketing Amount (in $)]])</f>
        <v>0.20146368742249993</v>
      </c>
      <c r="I19" s="9">
        <f>E19/F19</f>
        <v>194.203125</v>
      </c>
      <c r="J19" s="9">
        <f>E19/C19*100</f>
        <v>51.621879802300953</v>
      </c>
      <c r="K19" s="11">
        <f>E19/B19*100</f>
        <v>33.041351534565948</v>
      </c>
      <c r="L19" s="9">
        <f>E19/G19</f>
        <v>1183.7142857142858</v>
      </c>
      <c r="M19"/>
    </row>
    <row r="20" spans="1:13" x14ac:dyDescent="0.3">
      <c r="A20" t="s">
        <v>48</v>
      </c>
      <c r="B20" s="9">
        <v>189237</v>
      </c>
      <c r="C20" s="9">
        <v>142188</v>
      </c>
      <c r="D20">
        <v>8</v>
      </c>
      <c r="E20" s="11">
        <v>54075</v>
      </c>
      <c r="F20">
        <v>257</v>
      </c>
      <c r="G20">
        <v>31</v>
      </c>
      <c r="H20" s="5">
        <f>Table1[[#This Row],[Profit (in $)]]/(Table1[[#This Row],[R&amp;D Amount (in $)]]+Table1[[#This Row],[Marketing Amount (in $)]])</f>
        <v>0.1631590857660104</v>
      </c>
      <c r="I20" s="9">
        <f>E20/F20</f>
        <v>210.40856031128405</v>
      </c>
      <c r="J20" s="9">
        <f>E20/C20*100</f>
        <v>38.030635496666385</v>
      </c>
      <c r="K20" s="11">
        <f>E20/B20*100</f>
        <v>28.575278618874744</v>
      </c>
      <c r="L20" s="9">
        <f>E20/G20</f>
        <v>1744.3548387096773</v>
      </c>
      <c r="M20"/>
    </row>
    <row r="21" spans="1:13" x14ac:dyDescent="0.3">
      <c r="A21" t="s">
        <v>35</v>
      </c>
      <c r="B21" s="9">
        <v>137724</v>
      </c>
      <c r="C21" s="9">
        <v>77822</v>
      </c>
      <c r="D21">
        <v>7</v>
      </c>
      <c r="E21" s="11">
        <v>70238</v>
      </c>
      <c r="F21">
        <v>270</v>
      </c>
      <c r="G21">
        <v>32</v>
      </c>
      <c r="H21" s="5">
        <f>Table1[[#This Row],[Profit (in $)]]/(Table1[[#This Row],[R&amp;D Amount (in $)]]+Table1[[#This Row],[Marketing Amount (in $)]])</f>
        <v>0.32586083712989339</v>
      </c>
      <c r="I21" s="9">
        <f>E21/F21</f>
        <v>260.14074074074074</v>
      </c>
      <c r="J21" s="9">
        <f>E21/C21*100</f>
        <v>90.254683765516177</v>
      </c>
      <c r="K21" s="11">
        <f>E21/B21*100</f>
        <v>50.999099648572511</v>
      </c>
      <c r="L21" s="9">
        <f>E21/G21</f>
        <v>2194.9375</v>
      </c>
      <c r="M21"/>
    </row>
    <row r="22" spans="1:13" x14ac:dyDescent="0.3">
      <c r="A22" t="s">
        <v>11</v>
      </c>
      <c r="B22" s="9">
        <v>121645</v>
      </c>
      <c r="C22" s="9">
        <v>82274</v>
      </c>
      <c r="D22">
        <v>7</v>
      </c>
      <c r="E22" s="11">
        <v>60994</v>
      </c>
      <c r="F22">
        <v>201</v>
      </c>
      <c r="G22">
        <v>50</v>
      </c>
      <c r="H22" s="5">
        <f>Table1[[#This Row],[Profit (in $)]]/(Table1[[#This Row],[R&amp;D Amount (in $)]]+Table1[[#This Row],[Marketing Amount (in $)]])</f>
        <v>0.29910895993016834</v>
      </c>
      <c r="I22" s="9">
        <f>E22/F22</f>
        <v>303.45273631840797</v>
      </c>
      <c r="J22" s="9">
        <f>E22/C22*100</f>
        <v>74.135206748182895</v>
      </c>
      <c r="K22" s="11">
        <f>E22/B22*100</f>
        <v>50.140984010851255</v>
      </c>
      <c r="L22" s="9">
        <f>E22/G22</f>
        <v>1219.8800000000001</v>
      </c>
      <c r="M22"/>
    </row>
    <row r="23" spans="1:13" x14ac:dyDescent="0.3">
      <c r="A23" t="s">
        <v>17</v>
      </c>
      <c r="B23" s="9">
        <v>172907</v>
      </c>
      <c r="C23" s="9">
        <v>102390</v>
      </c>
      <c r="D23">
        <v>7</v>
      </c>
      <c r="E23" s="11">
        <v>78059</v>
      </c>
      <c r="F23">
        <v>232</v>
      </c>
      <c r="G23">
        <v>44</v>
      </c>
      <c r="H23" s="5">
        <f>Table1[[#This Row],[Profit (in $)]]/(Table1[[#This Row],[R&amp;D Amount (in $)]]+Table1[[#This Row],[Marketing Amount (in $)]])</f>
        <v>0.28354468083560663</v>
      </c>
      <c r="I23" s="9">
        <f>E23/F23</f>
        <v>336.46120689655174</v>
      </c>
      <c r="J23" s="9">
        <f>E23/C23*100</f>
        <v>76.236937200898524</v>
      </c>
      <c r="K23" s="11">
        <f>E23/B23*100</f>
        <v>45.145077989902092</v>
      </c>
      <c r="L23" s="9">
        <f>E23/G23</f>
        <v>1774.0681818181818</v>
      </c>
      <c r="M23"/>
    </row>
    <row r="24" spans="1:13" x14ac:dyDescent="0.3">
      <c r="A24" t="s">
        <v>42</v>
      </c>
      <c r="B24" s="9">
        <v>126584</v>
      </c>
      <c r="C24" s="9">
        <v>98088</v>
      </c>
      <c r="D24">
        <v>7</v>
      </c>
      <c r="E24" s="11">
        <v>63369</v>
      </c>
      <c r="F24">
        <v>143</v>
      </c>
      <c r="G24">
        <v>37</v>
      </c>
      <c r="H24" s="5">
        <f>Table1[[#This Row],[Profit (in $)]]/(Table1[[#This Row],[R&amp;D Amount (in $)]]+Table1[[#This Row],[Marketing Amount (in $)]])</f>
        <v>0.28205116792479706</v>
      </c>
      <c r="I24" s="9">
        <f>E24/F24</f>
        <v>443.13986013986016</v>
      </c>
      <c r="J24" s="9">
        <f>E24/C24*100</f>
        <v>64.604232933692202</v>
      </c>
      <c r="K24" s="11">
        <f>E24/B24*100</f>
        <v>50.060829172723253</v>
      </c>
      <c r="L24" s="9">
        <f>E24/G24</f>
        <v>1712.6756756756756</v>
      </c>
      <c r="M24"/>
    </row>
    <row r="25" spans="1:13" x14ac:dyDescent="0.3">
      <c r="A25" t="s">
        <v>41</v>
      </c>
      <c r="B25" s="9">
        <v>171059</v>
      </c>
      <c r="C25" s="9">
        <v>130277</v>
      </c>
      <c r="D25">
        <v>7</v>
      </c>
      <c r="E25" s="11">
        <v>69879</v>
      </c>
      <c r="F25">
        <v>182</v>
      </c>
      <c r="G25">
        <v>32</v>
      </c>
      <c r="H25" s="5">
        <f>Table1[[#This Row],[Profit (in $)]]/(Table1[[#This Row],[R&amp;D Amount (in $)]]+Table1[[#This Row],[Marketing Amount (in $)]])</f>
        <v>0.23189728409483101</v>
      </c>
      <c r="I25" s="9">
        <f>E25/F25</f>
        <v>383.95054945054943</v>
      </c>
      <c r="J25" s="9">
        <f>E25/C25*100</f>
        <v>53.63878505031586</v>
      </c>
      <c r="K25" s="11">
        <f>E25/B25*100</f>
        <v>40.850817554177219</v>
      </c>
      <c r="L25" s="9">
        <f>E25/G25</f>
        <v>2183.71875</v>
      </c>
      <c r="M25"/>
    </row>
    <row r="26" spans="1:13" x14ac:dyDescent="0.3">
      <c r="A26" t="s">
        <v>29</v>
      </c>
      <c r="B26" s="9">
        <v>158052</v>
      </c>
      <c r="C26" s="9">
        <v>132070</v>
      </c>
      <c r="D26">
        <v>7</v>
      </c>
      <c r="E26" s="11">
        <v>57918</v>
      </c>
      <c r="F26">
        <v>271</v>
      </c>
      <c r="G26">
        <v>44</v>
      </c>
      <c r="H26" s="5">
        <f>Table1[[#This Row],[Profit (in $)]]/(Table1[[#This Row],[R&amp;D Amount (in $)]]+Table1[[#This Row],[Marketing Amount (in $)]])</f>
        <v>0.19963325773295373</v>
      </c>
      <c r="I26" s="9">
        <f>E26/F26</f>
        <v>213.71955719557195</v>
      </c>
      <c r="J26" s="9">
        <f>E26/C26*100</f>
        <v>43.854016809267819</v>
      </c>
      <c r="K26" s="11">
        <f>E26/B26*100</f>
        <v>36.644901677928779</v>
      </c>
      <c r="L26" s="9">
        <f>E26/G26</f>
        <v>1316.3181818181818</v>
      </c>
      <c r="M26"/>
    </row>
    <row r="27" spans="1:13" x14ac:dyDescent="0.3">
      <c r="A27" t="s">
        <v>51</v>
      </c>
      <c r="B27" s="9">
        <v>194770</v>
      </c>
      <c r="C27" s="9">
        <v>129002</v>
      </c>
      <c r="D27">
        <v>7</v>
      </c>
      <c r="E27" s="11">
        <v>53528</v>
      </c>
      <c r="F27">
        <v>258</v>
      </c>
      <c r="G27">
        <v>36</v>
      </c>
      <c r="H27" s="5">
        <f>Table1[[#This Row],[Profit (in $)]]/(Table1[[#This Row],[R&amp;D Amount (in $)]]+Table1[[#This Row],[Marketing Amount (in $)]])</f>
        <v>0.1653262172145831</v>
      </c>
      <c r="I27" s="9">
        <f>E27/F27</f>
        <v>207.47286821705427</v>
      </c>
      <c r="J27" s="9">
        <f>E27/C27*100</f>
        <v>41.493930326661605</v>
      </c>
      <c r="K27" s="11">
        <f>E27/B27*100</f>
        <v>27.482671869384401</v>
      </c>
      <c r="L27" s="9">
        <f>E27/G27</f>
        <v>1486.8888888888889</v>
      </c>
      <c r="M27"/>
    </row>
    <row r="28" spans="1:13" x14ac:dyDescent="0.3">
      <c r="A28" t="s">
        <v>22</v>
      </c>
      <c r="B28" s="9">
        <v>103365</v>
      </c>
      <c r="C28" s="9">
        <v>92792</v>
      </c>
      <c r="D28">
        <v>6</v>
      </c>
      <c r="E28" s="11">
        <v>71922</v>
      </c>
      <c r="F28">
        <v>209</v>
      </c>
      <c r="G28">
        <v>49</v>
      </c>
      <c r="H28" s="5">
        <f>Table1[[#This Row],[Profit (in $)]]/(Table1[[#This Row],[R&amp;D Amount (in $)]]+Table1[[#This Row],[Marketing Amount (in $)]])</f>
        <v>0.36665528122881164</v>
      </c>
      <c r="I28" s="9">
        <f>E28/F28</f>
        <v>344.1244019138756</v>
      </c>
      <c r="J28" s="9">
        <f>E28/C28*100</f>
        <v>77.508836968704202</v>
      </c>
      <c r="K28" s="11">
        <f>E28/B28*100</f>
        <v>69.580612392976349</v>
      </c>
      <c r="L28" s="9">
        <f>E28/G28</f>
        <v>1467.795918367347</v>
      </c>
      <c r="M28"/>
    </row>
    <row r="29" spans="1:13" x14ac:dyDescent="0.3">
      <c r="A29" t="s">
        <v>33</v>
      </c>
      <c r="B29" s="9">
        <v>112875</v>
      </c>
      <c r="C29" s="9">
        <v>82893</v>
      </c>
      <c r="D29">
        <v>6</v>
      </c>
      <c r="E29" s="11">
        <v>46081</v>
      </c>
      <c r="F29">
        <v>167</v>
      </c>
      <c r="G29">
        <v>48</v>
      </c>
      <c r="H29" s="5">
        <f>Table1[[#This Row],[Profit (in $)]]/(Table1[[#This Row],[R&amp;D Amount (in $)]]+Table1[[#This Row],[Marketing Amount (in $)]])</f>
        <v>0.23538576273956929</v>
      </c>
      <c r="I29" s="9">
        <f>E29/F29</f>
        <v>275.93413173652692</v>
      </c>
      <c r="J29" s="9">
        <f>E29/C29*100</f>
        <v>55.590942540383381</v>
      </c>
      <c r="K29" s="11">
        <f>E29/B29*100</f>
        <v>40.824806201550388</v>
      </c>
      <c r="L29" s="9">
        <f>E29/G29</f>
        <v>960.02083333333337</v>
      </c>
      <c r="M29"/>
    </row>
    <row r="30" spans="1:13" x14ac:dyDescent="0.3">
      <c r="A30" t="s">
        <v>56</v>
      </c>
      <c r="B30" s="9">
        <v>143455</v>
      </c>
      <c r="C30" s="9">
        <v>127309</v>
      </c>
      <c r="D30">
        <v>6</v>
      </c>
      <c r="E30" s="11">
        <v>58173</v>
      </c>
      <c r="F30">
        <v>106</v>
      </c>
      <c r="G30">
        <v>28</v>
      </c>
      <c r="H30" s="5">
        <f>Table1[[#This Row],[Profit (in $)]]/(Table1[[#This Row],[R&amp;D Amount (in $)]]+Table1[[#This Row],[Marketing Amount (in $)]])</f>
        <v>0.21484761637440725</v>
      </c>
      <c r="I30" s="9">
        <f>E30/F30</f>
        <v>548.80188679245282</v>
      </c>
      <c r="J30" s="9">
        <f>E30/C30*100</f>
        <v>45.694334257593724</v>
      </c>
      <c r="K30" s="11">
        <f>E30/B30*100</f>
        <v>40.551392422710954</v>
      </c>
      <c r="L30" s="9">
        <f>E30/G30</f>
        <v>2077.6071428571427</v>
      </c>
      <c r="M30"/>
    </row>
    <row r="31" spans="1:13" x14ac:dyDescent="0.3">
      <c r="A31" t="s">
        <v>7</v>
      </c>
      <c r="B31" s="9">
        <v>167684</v>
      </c>
      <c r="C31" s="9">
        <v>96524</v>
      </c>
      <c r="D31">
        <v>6</v>
      </c>
      <c r="E31" s="11">
        <v>47036</v>
      </c>
      <c r="F31">
        <v>278</v>
      </c>
      <c r="G31">
        <v>38</v>
      </c>
      <c r="H31" s="5">
        <f>Table1[[#This Row],[Profit (in $)]]/(Table1[[#This Row],[R&amp;D Amount (in $)]]+Table1[[#This Row],[Marketing Amount (in $)]])</f>
        <v>0.17802640343971415</v>
      </c>
      <c r="I31" s="9">
        <f>E31/F31</f>
        <v>169.19424460431654</v>
      </c>
      <c r="J31" s="9">
        <f>E31/C31*100</f>
        <v>48.72984957109113</v>
      </c>
      <c r="K31" s="11">
        <f>E31/B31*100</f>
        <v>28.050380477564946</v>
      </c>
      <c r="L31" s="9">
        <f>E31/G31</f>
        <v>1237.7894736842106</v>
      </c>
      <c r="M31"/>
    </row>
    <row r="32" spans="1:13" x14ac:dyDescent="0.3">
      <c r="A32" t="s">
        <v>10</v>
      </c>
      <c r="B32" s="9">
        <v>171035</v>
      </c>
      <c r="C32" s="9">
        <v>107298</v>
      </c>
      <c r="D32">
        <v>6</v>
      </c>
      <c r="E32" s="11">
        <v>46504</v>
      </c>
      <c r="F32">
        <v>285</v>
      </c>
      <c r="G32">
        <v>27</v>
      </c>
      <c r="H32" s="5">
        <f>Table1[[#This Row],[Profit (in $)]]/(Table1[[#This Row],[R&amp;D Amount (in $)]]+Table1[[#This Row],[Marketing Amount (in $)]])</f>
        <v>0.16708043961729296</v>
      </c>
      <c r="I32" s="9">
        <f>E32/F32</f>
        <v>163.1719298245614</v>
      </c>
      <c r="J32" s="9">
        <f>E32/C32*100</f>
        <v>43.340975600663576</v>
      </c>
      <c r="K32" s="11">
        <f>E32/B32*100</f>
        <v>27.189756482591282</v>
      </c>
      <c r="L32" s="9">
        <f>E32/G32</f>
        <v>1722.3703703703704</v>
      </c>
      <c r="M32"/>
    </row>
    <row r="33" spans="1:13" x14ac:dyDescent="0.3">
      <c r="A33" t="s">
        <v>32</v>
      </c>
      <c r="B33" s="9">
        <v>112457</v>
      </c>
      <c r="C33" s="9">
        <v>144184</v>
      </c>
      <c r="D33">
        <v>6</v>
      </c>
      <c r="E33" s="11">
        <v>40074</v>
      </c>
      <c r="F33">
        <v>264</v>
      </c>
      <c r="G33">
        <v>36</v>
      </c>
      <c r="H33" s="5">
        <f>Table1[[#This Row],[Profit (in $)]]/(Table1[[#This Row],[R&amp;D Amount (in $)]]+Table1[[#This Row],[Marketing Amount (in $)]])</f>
        <v>0.1561480823407016</v>
      </c>
      <c r="I33" s="9">
        <f>E33/F33</f>
        <v>151.79545454545453</v>
      </c>
      <c r="J33" s="9">
        <f>E33/C33*100</f>
        <v>27.793652555068523</v>
      </c>
      <c r="K33" s="11">
        <f>E33/B33*100</f>
        <v>35.634953804565299</v>
      </c>
      <c r="L33" s="9">
        <f>E33/G33</f>
        <v>1113.1666666666667</v>
      </c>
      <c r="M33"/>
    </row>
    <row r="34" spans="1:13" x14ac:dyDescent="0.3">
      <c r="A34" t="s">
        <v>26</v>
      </c>
      <c r="B34" s="9">
        <v>114414</v>
      </c>
      <c r="C34" s="9">
        <v>94117</v>
      </c>
      <c r="D34">
        <v>5</v>
      </c>
      <c r="E34" s="11">
        <v>66443</v>
      </c>
      <c r="F34">
        <v>168</v>
      </c>
      <c r="G34">
        <v>29</v>
      </c>
      <c r="H34" s="5">
        <f>Table1[[#This Row],[Profit (in $)]]/(Table1[[#This Row],[R&amp;D Amount (in $)]]+Table1[[#This Row],[Marketing Amount (in $)]])</f>
        <v>0.31862408946391663</v>
      </c>
      <c r="I34" s="9">
        <f>E34/F34</f>
        <v>395.49404761904759</v>
      </c>
      <c r="J34" s="9">
        <f>E34/C34*100</f>
        <v>70.596172848688326</v>
      </c>
      <c r="K34" s="11">
        <f>E34/B34*100</f>
        <v>58.072438687573204</v>
      </c>
      <c r="L34" s="9">
        <f>E34/G34</f>
        <v>2291.1379310344828</v>
      </c>
      <c r="M34"/>
    </row>
    <row r="35" spans="1:13" x14ac:dyDescent="0.3">
      <c r="A35" t="s">
        <v>34</v>
      </c>
      <c r="B35" s="9">
        <v>123192</v>
      </c>
      <c r="C35" s="9">
        <v>111277</v>
      </c>
      <c r="D35">
        <v>5</v>
      </c>
      <c r="E35" s="11">
        <v>71753</v>
      </c>
      <c r="F35">
        <v>234</v>
      </c>
      <c r="G35">
        <v>31</v>
      </c>
      <c r="H35" s="5">
        <f>Table1[[#This Row],[Profit (in $)]]/(Table1[[#This Row],[R&amp;D Amount (in $)]]+Table1[[#This Row],[Marketing Amount (in $)]])</f>
        <v>0.3060233975493562</v>
      </c>
      <c r="I35" s="9">
        <f>E35/F35</f>
        <v>306.63675213675214</v>
      </c>
      <c r="J35" s="9">
        <f>E35/C35*100</f>
        <v>64.481429226165332</v>
      </c>
      <c r="K35" s="11">
        <f>E35/B35*100</f>
        <v>58.244853561919605</v>
      </c>
      <c r="L35" s="9">
        <f>E35/G35</f>
        <v>2314.6129032258063</v>
      </c>
      <c r="M35"/>
    </row>
    <row r="36" spans="1:13" x14ac:dyDescent="0.3">
      <c r="A36" t="s">
        <v>36</v>
      </c>
      <c r="B36" s="9">
        <v>119630</v>
      </c>
      <c r="C36" s="9">
        <v>116212</v>
      </c>
      <c r="D36">
        <v>5</v>
      </c>
      <c r="E36" s="11">
        <v>67712</v>
      </c>
      <c r="F36">
        <v>237</v>
      </c>
      <c r="G36">
        <v>27</v>
      </c>
      <c r="H36" s="5">
        <f>Table1[[#This Row],[Profit (in $)]]/(Table1[[#This Row],[R&amp;D Amount (in $)]]+Table1[[#This Row],[Marketing Amount (in $)]])</f>
        <v>0.28710747025551003</v>
      </c>
      <c r="I36" s="9">
        <f>E36/F36</f>
        <v>285.70464135021098</v>
      </c>
      <c r="J36" s="9">
        <f>E36/C36*100</f>
        <v>58.265927787147632</v>
      </c>
      <c r="K36" s="11">
        <f>E36/B36*100</f>
        <v>56.601186993229128</v>
      </c>
      <c r="L36" s="9">
        <f>E36/G36</f>
        <v>2507.8518518518517</v>
      </c>
      <c r="M36"/>
    </row>
    <row r="37" spans="1:13" x14ac:dyDescent="0.3">
      <c r="A37" t="s">
        <v>16</v>
      </c>
      <c r="B37" s="9">
        <v>116466</v>
      </c>
      <c r="C37" s="9">
        <v>76594</v>
      </c>
      <c r="D37">
        <v>5</v>
      </c>
      <c r="E37" s="11">
        <v>51353</v>
      </c>
      <c r="F37">
        <v>173</v>
      </c>
      <c r="G37">
        <v>31</v>
      </c>
      <c r="H37" s="5">
        <f>Table1[[#This Row],[Profit (in $)]]/(Table1[[#This Row],[R&amp;D Amount (in $)]]+Table1[[#This Row],[Marketing Amount (in $)]])</f>
        <v>0.26599502745260539</v>
      </c>
      <c r="I37" s="9">
        <f>E37/F37</f>
        <v>296.83815028901734</v>
      </c>
      <c r="J37" s="9">
        <f>E37/C37*100</f>
        <v>67.045721596991939</v>
      </c>
      <c r="K37" s="11">
        <f>E37/B37*100</f>
        <v>44.092696580976423</v>
      </c>
      <c r="L37" s="9">
        <f>E37/G37</f>
        <v>1656.5483870967741</v>
      </c>
      <c r="M37"/>
    </row>
    <row r="38" spans="1:13" x14ac:dyDescent="0.3">
      <c r="A38" t="s">
        <v>23</v>
      </c>
      <c r="B38" s="9">
        <v>128277</v>
      </c>
      <c r="C38" s="9">
        <v>86595</v>
      </c>
      <c r="D38">
        <v>5</v>
      </c>
      <c r="E38" s="11">
        <v>48731</v>
      </c>
      <c r="F38">
        <v>294</v>
      </c>
      <c r="G38">
        <v>35</v>
      </c>
      <c r="H38" s="5">
        <f>Table1[[#This Row],[Profit (in $)]]/(Table1[[#This Row],[R&amp;D Amount (in $)]]+Table1[[#This Row],[Marketing Amount (in $)]])</f>
        <v>0.22679083361256935</v>
      </c>
      <c r="I38" s="9">
        <f>E38/F38</f>
        <v>165.75170068027211</v>
      </c>
      <c r="J38" s="9">
        <f>E38/C38*100</f>
        <v>56.27461169813499</v>
      </c>
      <c r="K38" s="11">
        <f>E38/B38*100</f>
        <v>37.988883431948054</v>
      </c>
      <c r="L38" s="9">
        <f>E38/G38</f>
        <v>1392.3142857142857</v>
      </c>
      <c r="M38"/>
    </row>
    <row r="39" spans="1:13" x14ac:dyDescent="0.3">
      <c r="A39" t="s">
        <v>49</v>
      </c>
      <c r="B39" s="9">
        <v>169724</v>
      </c>
      <c r="C39" s="9">
        <v>145486</v>
      </c>
      <c r="D39">
        <v>5</v>
      </c>
      <c r="E39" s="11">
        <v>64530</v>
      </c>
      <c r="F39">
        <v>155</v>
      </c>
      <c r="G39">
        <v>28</v>
      </c>
      <c r="H39" s="5">
        <f>Table1[[#This Row],[Profit (in $)]]/(Table1[[#This Row],[R&amp;D Amount (in $)]]+Table1[[#This Row],[Marketing Amount (in $)]])</f>
        <v>0.20472066241553249</v>
      </c>
      <c r="I39" s="9">
        <f>E39/F39</f>
        <v>416.32258064516128</v>
      </c>
      <c r="J39" s="9">
        <f>E39/C39*100</f>
        <v>44.354783278116102</v>
      </c>
      <c r="K39" s="11">
        <f>E39/B39*100</f>
        <v>38.020551012231621</v>
      </c>
      <c r="L39" s="9">
        <f>E39/G39</f>
        <v>2304.6428571428573</v>
      </c>
      <c r="M39"/>
    </row>
    <row r="40" spans="1:13" x14ac:dyDescent="0.3">
      <c r="A40" t="s">
        <v>20</v>
      </c>
      <c r="B40" s="9">
        <v>146080</v>
      </c>
      <c r="C40" s="9">
        <v>128133</v>
      </c>
      <c r="D40">
        <v>5</v>
      </c>
      <c r="E40" s="11">
        <v>50566</v>
      </c>
      <c r="F40">
        <v>143</v>
      </c>
      <c r="G40">
        <v>42</v>
      </c>
      <c r="H40" s="5">
        <f>Table1[[#This Row],[Profit (in $)]]/(Table1[[#This Row],[R&amp;D Amount (in $)]]+Table1[[#This Row],[Marketing Amount (in $)]])</f>
        <v>0.18440409462716939</v>
      </c>
      <c r="I40" s="9">
        <f>E40/F40</f>
        <v>353.60839160839163</v>
      </c>
      <c r="J40" s="9">
        <f>E40/C40*100</f>
        <v>39.463682267643776</v>
      </c>
      <c r="K40" s="11">
        <f>E40/B40*100</f>
        <v>34.61527929901424</v>
      </c>
      <c r="L40" s="9">
        <f>E40/G40</f>
        <v>1203.952380952381</v>
      </c>
      <c r="M40"/>
    </row>
    <row r="41" spans="1:13" x14ac:dyDescent="0.3">
      <c r="A41" t="s">
        <v>21</v>
      </c>
      <c r="B41" s="9">
        <v>169022</v>
      </c>
      <c r="C41" s="9">
        <v>148705</v>
      </c>
      <c r="D41">
        <v>5</v>
      </c>
      <c r="E41" s="11">
        <v>51179</v>
      </c>
      <c r="F41">
        <v>236</v>
      </c>
      <c r="G41">
        <v>48</v>
      </c>
      <c r="H41" s="5">
        <f>Table1[[#This Row],[Profit (in $)]]/(Table1[[#This Row],[R&amp;D Amount (in $)]]+Table1[[#This Row],[Marketing Amount (in $)]])</f>
        <v>0.16107853597585348</v>
      </c>
      <c r="I41" s="9">
        <f>E41/F41</f>
        <v>216.86016949152543</v>
      </c>
      <c r="J41" s="9">
        <f>E41/C41*100</f>
        <v>34.416462122995192</v>
      </c>
      <c r="K41" s="11">
        <f>E41/B41*100</f>
        <v>30.279490243873582</v>
      </c>
      <c r="L41" s="9">
        <f>E41/G41</f>
        <v>1066.2291666666667</v>
      </c>
      <c r="M41"/>
    </row>
    <row r="42" spans="1:13" x14ac:dyDescent="0.3">
      <c r="A42" t="s">
        <v>44</v>
      </c>
      <c r="B42" s="9">
        <v>149115</v>
      </c>
      <c r="C42" s="9">
        <v>70099</v>
      </c>
      <c r="D42">
        <v>4</v>
      </c>
      <c r="E42" s="11">
        <v>79714</v>
      </c>
      <c r="F42">
        <v>158</v>
      </c>
      <c r="G42">
        <v>43</v>
      </c>
      <c r="H42" s="5">
        <f>Table1[[#This Row],[Profit (in $)]]/(Table1[[#This Row],[R&amp;D Amount (in $)]]+Table1[[#This Row],[Marketing Amount (in $)]])</f>
        <v>0.36363553422682859</v>
      </c>
      <c r="I42" s="9">
        <f>E42/F42</f>
        <v>504.51898734177217</v>
      </c>
      <c r="J42" s="9">
        <f>E42/C42*100</f>
        <v>113.71631549665473</v>
      </c>
      <c r="K42" s="11">
        <f>E42/B42*100</f>
        <v>53.458069275391473</v>
      </c>
      <c r="L42" s="9">
        <f>E42/G42</f>
        <v>1853.8139534883721</v>
      </c>
      <c r="M42"/>
    </row>
    <row r="43" spans="1:13" x14ac:dyDescent="0.3">
      <c r="A43" t="s">
        <v>47</v>
      </c>
      <c r="B43" s="9">
        <v>199724</v>
      </c>
      <c r="C43" s="9">
        <v>80154</v>
      </c>
      <c r="D43">
        <v>4</v>
      </c>
      <c r="E43" s="11">
        <v>79312</v>
      </c>
      <c r="F43">
        <v>229</v>
      </c>
      <c r="G43">
        <v>20</v>
      </c>
      <c r="H43" s="5">
        <f>Table1[[#This Row],[Profit (in $)]]/(Table1[[#This Row],[R&amp;D Amount (in $)]]+Table1[[#This Row],[Marketing Amount (in $)]])</f>
        <v>0.28338061583975876</v>
      </c>
      <c r="I43" s="9">
        <f>E43/F43</f>
        <v>346.34061135371178</v>
      </c>
      <c r="J43" s="9">
        <f>E43/C43*100</f>
        <v>98.949522169823084</v>
      </c>
      <c r="K43" s="11">
        <f>E43/B43*100</f>
        <v>39.710800905249243</v>
      </c>
      <c r="L43" s="9">
        <f>E43/G43</f>
        <v>3965.6</v>
      </c>
      <c r="M43"/>
    </row>
    <row r="44" spans="1:13" x14ac:dyDescent="0.3">
      <c r="A44" t="s">
        <v>14</v>
      </c>
      <c r="B44" s="9">
        <v>111609</v>
      </c>
      <c r="C44" s="9">
        <v>110750</v>
      </c>
      <c r="D44">
        <v>4</v>
      </c>
      <c r="E44" s="11">
        <v>62435</v>
      </c>
      <c r="F44">
        <v>197</v>
      </c>
      <c r="G44">
        <v>43</v>
      </c>
      <c r="H44" s="5">
        <f>Table1[[#This Row],[Profit (in $)]]/(Table1[[#This Row],[R&amp;D Amount (in $)]]+Table1[[#This Row],[Marketing Amount (in $)]])</f>
        <v>0.28078467703128723</v>
      </c>
      <c r="I44" s="9">
        <f>E44/F44</f>
        <v>316.92893401015226</v>
      </c>
      <c r="J44" s="9">
        <f>E44/C44*100</f>
        <v>56.37471783295711</v>
      </c>
      <c r="K44" s="11">
        <f>E44/B44*100</f>
        <v>55.940829144603029</v>
      </c>
      <c r="L44" s="9">
        <f>E44/G44</f>
        <v>1451.9767441860465</v>
      </c>
      <c r="M44"/>
    </row>
    <row r="45" spans="1:13" x14ac:dyDescent="0.3">
      <c r="A45" t="s">
        <v>38</v>
      </c>
      <c r="B45" s="9">
        <v>147174</v>
      </c>
      <c r="C45" s="9">
        <v>131989</v>
      </c>
      <c r="D45">
        <v>4</v>
      </c>
      <c r="E45" s="11">
        <v>72806</v>
      </c>
      <c r="F45">
        <v>208</v>
      </c>
      <c r="G45">
        <v>33</v>
      </c>
      <c r="H45" s="5">
        <f>Table1[[#This Row],[Profit (in $)]]/(Table1[[#This Row],[R&amp;D Amount (in $)]]+Table1[[#This Row],[Marketing Amount (in $)]])</f>
        <v>0.26080103738675969</v>
      </c>
      <c r="I45" s="9">
        <f>E45/F45</f>
        <v>350.02884615384613</v>
      </c>
      <c r="J45" s="9">
        <f>E45/C45*100</f>
        <v>55.160657327504566</v>
      </c>
      <c r="K45" s="11">
        <f>E45/B45*100</f>
        <v>49.469335616345276</v>
      </c>
      <c r="L45" s="9">
        <f>E45/G45</f>
        <v>2206.242424242424</v>
      </c>
      <c r="M45"/>
    </row>
    <row r="46" spans="1:13" x14ac:dyDescent="0.3">
      <c r="A46" t="s">
        <v>40</v>
      </c>
      <c r="B46" s="9">
        <v>136928</v>
      </c>
      <c r="C46" s="9">
        <v>88375</v>
      </c>
      <c r="D46">
        <v>3</v>
      </c>
      <c r="E46" s="11">
        <v>62287</v>
      </c>
      <c r="F46">
        <v>235</v>
      </c>
      <c r="G46">
        <v>37</v>
      </c>
      <c r="H46" s="5">
        <f>Table1[[#This Row],[Profit (in $)]]/(Table1[[#This Row],[R&amp;D Amount (in $)]]+Table1[[#This Row],[Marketing Amount (in $)]])</f>
        <v>0.27645881324261107</v>
      </c>
      <c r="I46" s="9">
        <f>E46/F46</f>
        <v>265.05106382978721</v>
      </c>
      <c r="J46" s="9">
        <f>E46/C46*100</f>
        <v>70.480339462517676</v>
      </c>
      <c r="K46" s="11">
        <f>E46/B46*100</f>
        <v>45.488870063098858</v>
      </c>
      <c r="L46" s="9">
        <f>E46/G46</f>
        <v>1683.4324324324325</v>
      </c>
      <c r="M46"/>
    </row>
    <row r="47" spans="1:13" x14ac:dyDescent="0.3">
      <c r="A47" t="s">
        <v>19</v>
      </c>
      <c r="B47" s="9">
        <v>100453</v>
      </c>
      <c r="C47" s="9">
        <v>137840</v>
      </c>
      <c r="D47">
        <v>3</v>
      </c>
      <c r="E47" s="11">
        <v>60867</v>
      </c>
      <c r="F47">
        <v>289</v>
      </c>
      <c r="G47">
        <v>27</v>
      </c>
      <c r="H47" s="5">
        <f>Table1[[#This Row],[Profit (in $)]]/(Table1[[#This Row],[R&amp;D Amount (in $)]]+Table1[[#This Row],[Marketing Amount (in $)]])</f>
        <v>0.25542924047286325</v>
      </c>
      <c r="I47" s="9">
        <f>E47/F47</f>
        <v>210.61245674740485</v>
      </c>
      <c r="J47" s="9">
        <f>E47/C47*100</f>
        <v>44.157719094602434</v>
      </c>
      <c r="K47" s="11">
        <f>E47/B47*100</f>
        <v>60.592515902959597</v>
      </c>
      <c r="L47" s="9">
        <f>E47/G47</f>
        <v>2254.3333333333335</v>
      </c>
      <c r="M47"/>
    </row>
    <row r="48" spans="1:13" x14ac:dyDescent="0.3">
      <c r="A48" t="s">
        <v>24</v>
      </c>
      <c r="B48" s="9">
        <v>157091</v>
      </c>
      <c r="C48" s="9">
        <v>147747</v>
      </c>
      <c r="D48">
        <v>3</v>
      </c>
      <c r="E48" s="11">
        <v>74226</v>
      </c>
      <c r="F48">
        <v>199</v>
      </c>
      <c r="G48">
        <v>43</v>
      </c>
      <c r="H48" s="5">
        <f>Table1[[#This Row],[Profit (in $)]]/(Table1[[#This Row],[R&amp;D Amount (in $)]]+Table1[[#This Row],[Marketing Amount (in $)]])</f>
        <v>0.24349326527532655</v>
      </c>
      <c r="I48" s="9">
        <f>E48/F48</f>
        <v>372.99497487437185</v>
      </c>
      <c r="J48" s="9">
        <f>E48/C48*100</f>
        <v>50.238583524538569</v>
      </c>
      <c r="K48" s="11">
        <f>E48/B48*100</f>
        <v>47.250319878287108</v>
      </c>
      <c r="L48" s="9">
        <f>E48/G48</f>
        <v>1726.1860465116279</v>
      </c>
      <c r="M48"/>
    </row>
    <row r="49" spans="1:13" x14ac:dyDescent="0.3">
      <c r="A49" t="s">
        <v>52</v>
      </c>
      <c r="B49" s="9">
        <v>198980</v>
      </c>
      <c r="C49" s="9">
        <v>100750</v>
      </c>
      <c r="D49">
        <v>3</v>
      </c>
      <c r="E49" s="11">
        <v>59232</v>
      </c>
      <c r="F49">
        <v>136</v>
      </c>
      <c r="G49">
        <v>43</v>
      </c>
      <c r="H49" s="5">
        <f>Table1[[#This Row],[Profit (in $)]]/(Table1[[#This Row],[R&amp;D Amount (in $)]]+Table1[[#This Row],[Marketing Amount (in $)]])</f>
        <v>0.19761785607046342</v>
      </c>
      <c r="I49" s="9">
        <f>E49/F49</f>
        <v>435.52941176470586</v>
      </c>
      <c r="J49" s="9">
        <f>E49/C49*100</f>
        <v>58.791066997518612</v>
      </c>
      <c r="K49" s="11">
        <f>E49/B49*100</f>
        <v>29.76781586089054</v>
      </c>
      <c r="L49" s="9">
        <f>E49/G49</f>
        <v>1377.4883720930231</v>
      </c>
      <c r="M49"/>
    </row>
    <row r="50" spans="1:13" x14ac:dyDescent="0.3">
      <c r="A50" t="s">
        <v>31</v>
      </c>
      <c r="B50" s="9">
        <v>103544</v>
      </c>
      <c r="C50" s="9">
        <v>135068</v>
      </c>
      <c r="D50">
        <v>3</v>
      </c>
      <c r="E50" s="11">
        <v>42037</v>
      </c>
      <c r="F50">
        <v>297</v>
      </c>
      <c r="G50">
        <v>43</v>
      </c>
      <c r="H50" s="5">
        <f>Table1[[#This Row],[Profit (in $)]]/(Table1[[#This Row],[R&amp;D Amount (in $)]]+Table1[[#This Row],[Marketing Amount (in $)]])</f>
        <v>0.1761730340469046</v>
      </c>
      <c r="I50" s="9">
        <f>E50/F50</f>
        <v>141.53872053872053</v>
      </c>
      <c r="J50" s="9">
        <f>E50/C50*100</f>
        <v>31.122841827820064</v>
      </c>
      <c r="K50" s="11">
        <f>E50/B50*100</f>
        <v>40.598199799119215</v>
      </c>
      <c r="L50" s="9">
        <f>E50/G50</f>
        <v>977.60465116279067</v>
      </c>
      <c r="M50"/>
    </row>
    <row r="51" spans="1:13" x14ac:dyDescent="0.3">
      <c r="A51" t="s">
        <v>8</v>
      </c>
      <c r="B51" s="9">
        <v>180067</v>
      </c>
      <c r="C51" s="9">
        <v>132932</v>
      </c>
      <c r="D51">
        <v>3</v>
      </c>
      <c r="E51" s="11">
        <v>42541</v>
      </c>
      <c r="F51">
        <v>164</v>
      </c>
      <c r="G51">
        <v>37</v>
      </c>
      <c r="H51" s="5">
        <f>Table1[[#This Row],[Profit (in $)]]/(Table1[[#This Row],[R&amp;D Amount (in $)]]+Table1[[#This Row],[Marketing Amount (in $)]])</f>
        <v>0.13591417224975161</v>
      </c>
      <c r="I51" s="9">
        <f>E51/F51</f>
        <v>259.39634146341461</v>
      </c>
      <c r="J51" s="9">
        <f>E51/C51*100</f>
        <v>32.002076249511028</v>
      </c>
      <c r="K51" s="11">
        <f>E51/B51*100</f>
        <v>23.625095103489258</v>
      </c>
      <c r="L51" s="9">
        <f>E51/G51</f>
        <v>1149.7567567567567</v>
      </c>
      <c r="M51"/>
    </row>
  </sheetData>
  <phoneticPr fontId="3" type="noConversion"/>
  <conditionalFormatting sqref="H1:H1048576">
    <cfRule type="colorScale" priority="1">
      <colorScale>
        <cfvo type="min"/>
        <cfvo type="percentile" val="50"/>
        <cfvo type="max"/>
        <color rgb="FFF8696B"/>
        <color rgb="FFFFEB84"/>
        <color rgb="FF63BE7B"/>
      </colorScale>
    </cfRule>
  </conditionalFormatting>
  <conditionalFormatting sqref="H2:H51">
    <cfRule type="aboveAverage" dxfId="0" priority="4" aboveAverage="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E3E0-E38F-4426-A9F3-AEAFA8238843}">
  <dimension ref="A1:T54"/>
  <sheetViews>
    <sheetView workbookViewId="0">
      <selection activeCell="B26" sqref="B26"/>
    </sheetView>
  </sheetViews>
  <sheetFormatPr defaultRowHeight="14.4" x14ac:dyDescent="0.3"/>
  <cols>
    <col min="1" max="1" width="13.109375" bestFit="1" customWidth="1"/>
    <col min="2" max="2" width="28.6640625" bestFit="1" customWidth="1"/>
    <col min="3" max="3" width="23.6640625" bestFit="1" customWidth="1"/>
    <col min="4" max="4" width="17" bestFit="1" customWidth="1"/>
    <col min="5" max="5" width="7" bestFit="1" customWidth="1"/>
    <col min="6" max="6" width="14" bestFit="1" customWidth="1"/>
    <col min="7" max="7" width="17" bestFit="1" customWidth="1"/>
    <col min="8" max="8" width="23.6640625" bestFit="1" customWidth="1"/>
    <col min="9" max="9" width="7" bestFit="1" customWidth="1"/>
    <col min="10" max="10" width="14" bestFit="1" customWidth="1"/>
    <col min="11" max="11" width="28.6640625" bestFit="1" customWidth="1"/>
    <col min="12" max="12" width="17" bestFit="1" customWidth="1"/>
    <col min="13" max="14" width="7" bestFit="1" customWidth="1"/>
    <col min="15" max="15" width="14" bestFit="1" customWidth="1"/>
    <col min="16" max="16" width="18.77734375" bestFit="1" customWidth="1"/>
    <col min="17" max="17" width="6" bestFit="1" customWidth="1"/>
    <col min="18" max="18" width="7" bestFit="1" customWidth="1"/>
    <col min="19" max="19" width="14" bestFit="1" customWidth="1"/>
    <col min="20" max="20" width="24.44140625" bestFit="1" customWidth="1"/>
    <col min="21" max="22" width="6" bestFit="1" customWidth="1"/>
    <col min="23" max="25" width="7" bestFit="1" customWidth="1"/>
    <col min="26" max="26" width="6" bestFit="1" customWidth="1"/>
    <col min="27" max="37" width="7" bestFit="1" customWidth="1"/>
    <col min="38" max="39" width="6" bestFit="1" customWidth="1"/>
    <col min="40" max="41" width="7" bestFit="1" customWidth="1"/>
    <col min="42" max="42" width="6" bestFit="1" customWidth="1"/>
    <col min="43" max="44" width="7" bestFit="1" customWidth="1"/>
    <col min="45" max="45" width="6" bestFit="1" customWidth="1"/>
    <col min="46" max="48" width="7" bestFit="1" customWidth="1"/>
    <col min="49" max="50" width="6" bestFit="1" customWidth="1"/>
    <col min="51" max="51" width="7" bestFit="1" customWidth="1"/>
    <col min="52" max="52" width="6" bestFit="1" customWidth="1"/>
    <col min="53" max="55" width="7" bestFit="1" customWidth="1"/>
    <col min="56" max="56" width="6" bestFit="1" customWidth="1"/>
    <col min="57" max="57" width="7" bestFit="1" customWidth="1"/>
    <col min="58" max="60" width="6" bestFit="1" customWidth="1"/>
    <col min="61" max="61" width="10.77734375" bestFit="1" customWidth="1"/>
  </cols>
  <sheetData>
    <row r="1" spans="1:20" x14ac:dyDescent="0.3">
      <c r="A1" s="2" t="s">
        <v>6</v>
      </c>
      <c r="B1" t="s">
        <v>64</v>
      </c>
    </row>
    <row r="2" spans="1:20" x14ac:dyDescent="0.3">
      <c r="J2" s="2" t="s">
        <v>0</v>
      </c>
      <c r="K2" t="s">
        <v>60</v>
      </c>
      <c r="L2" t="s">
        <v>63</v>
      </c>
    </row>
    <row r="3" spans="1:20" x14ac:dyDescent="0.3">
      <c r="A3" s="2" t="s">
        <v>58</v>
      </c>
      <c r="B3" t="s">
        <v>60</v>
      </c>
      <c r="C3" t="s">
        <v>59</v>
      </c>
      <c r="D3" t="s">
        <v>63</v>
      </c>
      <c r="F3" s="2" t="s">
        <v>58</v>
      </c>
      <c r="G3" t="s">
        <v>63</v>
      </c>
      <c r="H3" t="s">
        <v>59</v>
      </c>
      <c r="J3" t="s">
        <v>7</v>
      </c>
      <c r="K3">
        <v>96524</v>
      </c>
      <c r="L3">
        <v>47036</v>
      </c>
      <c r="O3" s="2" t="s">
        <v>0</v>
      </c>
      <c r="P3" t="s">
        <v>65</v>
      </c>
      <c r="S3" s="2" t="s">
        <v>0</v>
      </c>
      <c r="T3" t="s">
        <v>66</v>
      </c>
    </row>
    <row r="4" spans="1:20" x14ac:dyDescent="0.3">
      <c r="A4" s="3" t="s">
        <v>9</v>
      </c>
      <c r="B4">
        <v>116187</v>
      </c>
      <c r="C4">
        <v>105431</v>
      </c>
      <c r="D4">
        <v>43087</v>
      </c>
      <c r="F4" s="3" t="s">
        <v>7</v>
      </c>
      <c r="G4">
        <v>47036</v>
      </c>
      <c r="H4">
        <v>167684</v>
      </c>
      <c r="J4" t="s">
        <v>8</v>
      </c>
      <c r="K4">
        <v>132932</v>
      </c>
      <c r="L4">
        <v>42541</v>
      </c>
      <c r="O4" t="s">
        <v>7</v>
      </c>
      <c r="P4" s="7">
        <v>0.17802640343971415</v>
      </c>
      <c r="S4" t="s">
        <v>7</v>
      </c>
      <c r="T4">
        <v>169.19424460431654</v>
      </c>
    </row>
    <row r="5" spans="1:20" x14ac:dyDescent="0.3">
      <c r="A5" s="3" t="s">
        <v>10</v>
      </c>
      <c r="B5">
        <v>107298</v>
      </c>
      <c r="C5">
        <v>171035</v>
      </c>
      <c r="D5">
        <v>46504</v>
      </c>
      <c r="F5" s="3" t="s">
        <v>8</v>
      </c>
      <c r="G5">
        <v>42541</v>
      </c>
      <c r="H5">
        <v>180067</v>
      </c>
      <c r="J5" t="s">
        <v>9</v>
      </c>
      <c r="K5">
        <v>116187</v>
      </c>
      <c r="L5">
        <v>43087</v>
      </c>
      <c r="O5" t="s">
        <v>8</v>
      </c>
      <c r="P5" s="7">
        <v>0.13591417224975161</v>
      </c>
      <c r="S5" t="s">
        <v>8</v>
      </c>
      <c r="T5">
        <v>259.39634146341461</v>
      </c>
    </row>
    <row r="6" spans="1:20" x14ac:dyDescent="0.3">
      <c r="A6" s="3" t="s">
        <v>19</v>
      </c>
      <c r="B6">
        <v>137840</v>
      </c>
      <c r="C6">
        <v>100453</v>
      </c>
      <c r="D6">
        <v>60867</v>
      </c>
      <c r="F6" s="3" t="s">
        <v>9</v>
      </c>
      <c r="G6">
        <v>43087</v>
      </c>
      <c r="H6">
        <v>105431</v>
      </c>
      <c r="J6" t="s">
        <v>10</v>
      </c>
      <c r="K6">
        <v>107298</v>
      </c>
      <c r="L6">
        <v>46504</v>
      </c>
      <c r="O6" t="s">
        <v>9</v>
      </c>
      <c r="P6" s="7">
        <v>0.19442012832892636</v>
      </c>
      <c r="S6" t="s">
        <v>9</v>
      </c>
      <c r="T6">
        <v>238.04972375690608</v>
      </c>
    </row>
    <row r="7" spans="1:20" x14ac:dyDescent="0.3">
      <c r="A7" s="3" t="s">
        <v>26</v>
      </c>
      <c r="B7">
        <v>94117</v>
      </c>
      <c r="C7">
        <v>114414</v>
      </c>
      <c r="D7">
        <v>66443</v>
      </c>
      <c r="F7" s="3" t="s">
        <v>10</v>
      </c>
      <c r="G7">
        <v>46504</v>
      </c>
      <c r="H7">
        <v>171035</v>
      </c>
      <c r="J7" t="s">
        <v>11</v>
      </c>
      <c r="K7">
        <v>82274</v>
      </c>
      <c r="L7">
        <v>60994</v>
      </c>
      <c r="O7" t="s">
        <v>10</v>
      </c>
      <c r="P7" s="7">
        <v>0.16708043961729296</v>
      </c>
      <c r="S7" t="s">
        <v>10</v>
      </c>
      <c r="T7">
        <v>163.1719298245614</v>
      </c>
    </row>
    <row r="8" spans="1:20" x14ac:dyDescent="0.3">
      <c r="A8" s="3" t="s">
        <v>36</v>
      </c>
      <c r="B8">
        <v>116212</v>
      </c>
      <c r="C8">
        <v>119630</v>
      </c>
      <c r="D8">
        <v>67712</v>
      </c>
      <c r="F8" s="3" t="s">
        <v>11</v>
      </c>
      <c r="G8">
        <v>60994</v>
      </c>
      <c r="H8">
        <v>121645</v>
      </c>
      <c r="J8" t="s">
        <v>12</v>
      </c>
      <c r="K8">
        <v>84320</v>
      </c>
      <c r="L8">
        <v>44010</v>
      </c>
      <c r="O8" t="s">
        <v>11</v>
      </c>
      <c r="P8" s="7">
        <v>0.29910895993016834</v>
      </c>
      <c r="S8" t="s">
        <v>11</v>
      </c>
      <c r="T8">
        <v>303.45273631840797</v>
      </c>
    </row>
    <row r="9" spans="1:20" x14ac:dyDescent="0.3">
      <c r="A9" s="3" t="s">
        <v>39</v>
      </c>
      <c r="B9">
        <v>101280</v>
      </c>
      <c r="C9">
        <v>133356</v>
      </c>
      <c r="D9">
        <v>56159</v>
      </c>
      <c r="F9" s="3" t="s">
        <v>12</v>
      </c>
      <c r="G9">
        <v>44010</v>
      </c>
      <c r="H9">
        <v>105622</v>
      </c>
      <c r="J9" t="s">
        <v>13</v>
      </c>
      <c r="K9">
        <v>96308</v>
      </c>
      <c r="L9">
        <v>49716</v>
      </c>
      <c r="O9" t="s">
        <v>12</v>
      </c>
      <c r="P9" s="7">
        <v>0.23170230912594372</v>
      </c>
      <c r="S9" t="s">
        <v>12</v>
      </c>
      <c r="T9">
        <v>427.28155339805824</v>
      </c>
    </row>
    <row r="10" spans="1:20" x14ac:dyDescent="0.3">
      <c r="A10" s="3" t="s">
        <v>47</v>
      </c>
      <c r="B10">
        <v>80154</v>
      </c>
      <c r="C10">
        <v>199724</v>
      </c>
      <c r="D10">
        <v>79312</v>
      </c>
      <c r="F10" s="3" t="s">
        <v>13</v>
      </c>
      <c r="G10">
        <v>49716</v>
      </c>
      <c r="H10">
        <v>150466</v>
      </c>
      <c r="J10" t="s">
        <v>14</v>
      </c>
      <c r="K10">
        <v>110750</v>
      </c>
      <c r="L10">
        <v>62435</v>
      </c>
      <c r="O10" t="s">
        <v>13</v>
      </c>
      <c r="P10" s="7">
        <v>0.20146368742249993</v>
      </c>
      <c r="S10" t="s">
        <v>13</v>
      </c>
      <c r="T10">
        <v>194.203125</v>
      </c>
    </row>
    <row r="11" spans="1:20" x14ac:dyDescent="0.3">
      <c r="A11" s="3" t="s">
        <v>49</v>
      </c>
      <c r="B11">
        <v>145486</v>
      </c>
      <c r="C11">
        <v>169724</v>
      </c>
      <c r="D11">
        <v>64530</v>
      </c>
      <c r="F11" s="3" t="s">
        <v>14</v>
      </c>
      <c r="G11">
        <v>62435</v>
      </c>
      <c r="H11">
        <v>111609</v>
      </c>
      <c r="J11" t="s">
        <v>15</v>
      </c>
      <c r="K11">
        <v>105895</v>
      </c>
      <c r="L11">
        <v>69223</v>
      </c>
      <c r="O11" t="s">
        <v>14</v>
      </c>
      <c r="P11" s="7">
        <v>0.28078467703128723</v>
      </c>
      <c r="S11" t="s">
        <v>14</v>
      </c>
      <c r="T11">
        <v>316.92893401015226</v>
      </c>
    </row>
    <row r="12" spans="1:20" x14ac:dyDescent="0.3">
      <c r="A12" s="3" t="s">
        <v>54</v>
      </c>
      <c r="B12">
        <v>111527</v>
      </c>
      <c r="C12">
        <v>184839</v>
      </c>
      <c r="D12">
        <v>53291</v>
      </c>
      <c r="F12" s="3" t="s">
        <v>15</v>
      </c>
      <c r="G12">
        <v>69223</v>
      </c>
      <c r="H12">
        <v>183704</v>
      </c>
      <c r="J12" t="s">
        <v>16</v>
      </c>
      <c r="K12">
        <v>76594</v>
      </c>
      <c r="L12">
        <v>51353</v>
      </c>
      <c r="O12" t="s">
        <v>15</v>
      </c>
      <c r="P12" s="7">
        <v>0.23903052151423174</v>
      </c>
      <c r="S12" t="s">
        <v>15</v>
      </c>
      <c r="T12">
        <v>501.6159420289855</v>
      </c>
    </row>
    <row r="13" spans="1:20" x14ac:dyDescent="0.3">
      <c r="A13" s="3" t="s">
        <v>56</v>
      </c>
      <c r="B13">
        <v>127309</v>
      </c>
      <c r="C13">
        <v>143455</v>
      </c>
      <c r="D13">
        <v>58173</v>
      </c>
      <c r="F13" s="3" t="s">
        <v>16</v>
      </c>
      <c r="G13">
        <v>51353</v>
      </c>
      <c r="H13">
        <v>116466</v>
      </c>
      <c r="J13" t="s">
        <v>17</v>
      </c>
      <c r="K13">
        <v>102390</v>
      </c>
      <c r="L13">
        <v>78059</v>
      </c>
      <c r="O13" t="s">
        <v>16</v>
      </c>
      <c r="P13" s="7">
        <v>0.26599502745260539</v>
      </c>
      <c r="S13" t="s">
        <v>16</v>
      </c>
      <c r="T13">
        <v>296.83815028901734</v>
      </c>
    </row>
    <row r="14" spans="1:20" x14ac:dyDescent="0.3">
      <c r="F14" s="3" t="s">
        <v>17</v>
      </c>
      <c r="G14">
        <v>78059</v>
      </c>
      <c r="H14">
        <v>172907</v>
      </c>
      <c r="J14" t="s">
        <v>18</v>
      </c>
      <c r="K14">
        <v>145281</v>
      </c>
      <c r="L14">
        <v>58989</v>
      </c>
      <c r="O14" t="s">
        <v>17</v>
      </c>
      <c r="P14" s="7">
        <v>0.28354468083560663</v>
      </c>
      <c r="S14" t="s">
        <v>17</v>
      </c>
      <c r="T14">
        <v>336.46120689655174</v>
      </c>
    </row>
    <row r="15" spans="1:20" x14ac:dyDescent="0.3">
      <c r="F15" s="3" t="s">
        <v>18</v>
      </c>
      <c r="G15">
        <v>58989</v>
      </c>
      <c r="H15">
        <v>131660</v>
      </c>
      <c r="J15" t="s">
        <v>19</v>
      </c>
      <c r="K15">
        <v>137840</v>
      </c>
      <c r="L15">
        <v>60867</v>
      </c>
      <c r="O15" t="s">
        <v>18</v>
      </c>
      <c r="P15" s="7">
        <v>0.21300204736748982</v>
      </c>
      <c r="S15" t="s">
        <v>18</v>
      </c>
      <c r="T15">
        <v>572.70873786407765</v>
      </c>
    </row>
    <row r="16" spans="1:20" x14ac:dyDescent="0.3">
      <c r="F16" s="3" t="s">
        <v>19</v>
      </c>
      <c r="G16">
        <v>60867</v>
      </c>
      <c r="H16">
        <v>100453</v>
      </c>
      <c r="J16" t="s">
        <v>20</v>
      </c>
      <c r="K16">
        <v>128133</v>
      </c>
      <c r="L16">
        <v>50566</v>
      </c>
      <c r="O16" t="s">
        <v>19</v>
      </c>
      <c r="P16" s="7">
        <v>0.25542924047286325</v>
      </c>
      <c r="S16" t="s">
        <v>19</v>
      </c>
      <c r="T16">
        <v>210.61245674740485</v>
      </c>
    </row>
    <row r="17" spans="6:20" x14ac:dyDescent="0.3">
      <c r="F17" s="3" t="s">
        <v>20</v>
      </c>
      <c r="G17">
        <v>50566</v>
      </c>
      <c r="H17">
        <v>146080</v>
      </c>
      <c r="J17" t="s">
        <v>21</v>
      </c>
      <c r="K17">
        <v>148705</v>
      </c>
      <c r="L17">
        <v>51179</v>
      </c>
      <c r="O17" t="s">
        <v>20</v>
      </c>
      <c r="P17" s="7">
        <v>0.18440409462716939</v>
      </c>
      <c r="S17" t="s">
        <v>20</v>
      </c>
      <c r="T17">
        <v>353.60839160839163</v>
      </c>
    </row>
    <row r="18" spans="6:20" x14ac:dyDescent="0.3">
      <c r="F18" s="3" t="s">
        <v>21</v>
      </c>
      <c r="G18">
        <v>51179</v>
      </c>
      <c r="H18">
        <v>169022</v>
      </c>
      <c r="J18" t="s">
        <v>22</v>
      </c>
      <c r="K18">
        <v>92792</v>
      </c>
      <c r="L18">
        <v>71922</v>
      </c>
      <c r="O18" t="s">
        <v>21</v>
      </c>
      <c r="P18" s="7">
        <v>0.16107853597585348</v>
      </c>
      <c r="S18" t="s">
        <v>21</v>
      </c>
      <c r="T18">
        <v>216.86016949152543</v>
      </c>
    </row>
    <row r="19" spans="6:20" x14ac:dyDescent="0.3">
      <c r="F19" s="3" t="s">
        <v>22</v>
      </c>
      <c r="G19">
        <v>71922</v>
      </c>
      <c r="H19">
        <v>103365</v>
      </c>
      <c r="J19" t="s">
        <v>23</v>
      </c>
      <c r="K19">
        <v>86595</v>
      </c>
      <c r="L19">
        <v>48731</v>
      </c>
      <c r="O19" t="s">
        <v>22</v>
      </c>
      <c r="P19" s="7">
        <v>0.36665528122881164</v>
      </c>
      <c r="S19" t="s">
        <v>22</v>
      </c>
      <c r="T19">
        <v>344.1244019138756</v>
      </c>
    </row>
    <row r="20" spans="6:20" x14ac:dyDescent="0.3">
      <c r="F20" s="3" t="s">
        <v>23</v>
      </c>
      <c r="G20">
        <v>48731</v>
      </c>
      <c r="H20">
        <v>128277</v>
      </c>
      <c r="J20" t="s">
        <v>24</v>
      </c>
      <c r="K20">
        <v>147747</v>
      </c>
      <c r="L20">
        <v>74226</v>
      </c>
      <c r="O20" t="s">
        <v>23</v>
      </c>
      <c r="P20" s="7">
        <v>0.22679083361256935</v>
      </c>
      <c r="S20" t="s">
        <v>23</v>
      </c>
      <c r="T20">
        <v>165.75170068027211</v>
      </c>
    </row>
    <row r="21" spans="6:20" x14ac:dyDescent="0.3">
      <c r="F21" s="3" t="s">
        <v>24</v>
      </c>
      <c r="G21">
        <v>74226</v>
      </c>
      <c r="H21">
        <v>157091</v>
      </c>
      <c r="J21" t="s">
        <v>25</v>
      </c>
      <c r="K21">
        <v>78439</v>
      </c>
      <c r="L21">
        <v>46989</v>
      </c>
      <c r="O21" t="s">
        <v>24</v>
      </c>
      <c r="P21" s="7">
        <v>0.24349326527532655</v>
      </c>
      <c r="S21" t="s">
        <v>24</v>
      </c>
      <c r="T21">
        <v>372.99497487437185</v>
      </c>
    </row>
    <row r="22" spans="6:20" x14ac:dyDescent="0.3">
      <c r="F22" s="3" t="s">
        <v>25</v>
      </c>
      <c r="G22">
        <v>46989</v>
      </c>
      <c r="H22">
        <v>179268</v>
      </c>
      <c r="J22" t="s">
        <v>26</v>
      </c>
      <c r="K22">
        <v>94117</v>
      </c>
      <c r="L22">
        <v>66443</v>
      </c>
      <c r="O22" t="s">
        <v>25</v>
      </c>
      <c r="P22" s="7">
        <v>0.18233497731920359</v>
      </c>
      <c r="S22" t="s">
        <v>25</v>
      </c>
      <c r="T22">
        <v>174.03333333333333</v>
      </c>
    </row>
    <row r="23" spans="6:20" x14ac:dyDescent="0.3">
      <c r="F23" s="3" t="s">
        <v>26</v>
      </c>
      <c r="G23">
        <v>66443</v>
      </c>
      <c r="H23">
        <v>114414</v>
      </c>
      <c r="J23" t="s">
        <v>27</v>
      </c>
      <c r="K23">
        <v>127620</v>
      </c>
      <c r="L23">
        <v>59713</v>
      </c>
      <c r="O23" t="s">
        <v>26</v>
      </c>
      <c r="P23" s="7">
        <v>0.31862408946391663</v>
      </c>
      <c r="S23" t="s">
        <v>26</v>
      </c>
      <c r="T23">
        <v>395.49404761904759</v>
      </c>
    </row>
    <row r="24" spans="6:20" x14ac:dyDescent="0.3">
      <c r="F24" s="3" t="s">
        <v>27</v>
      </c>
      <c r="G24">
        <v>59713</v>
      </c>
      <c r="H24">
        <v>114242</v>
      </c>
      <c r="J24" t="s">
        <v>28</v>
      </c>
      <c r="K24">
        <v>98681</v>
      </c>
      <c r="L24">
        <v>77416</v>
      </c>
      <c r="O24" t="s">
        <v>27</v>
      </c>
      <c r="P24" s="7">
        <v>0.24688872166772788</v>
      </c>
      <c r="S24" t="s">
        <v>27</v>
      </c>
      <c r="T24">
        <v>322.77297297297298</v>
      </c>
    </row>
    <row r="25" spans="6:20" x14ac:dyDescent="0.3">
      <c r="F25" s="3" t="s">
        <v>28</v>
      </c>
      <c r="G25">
        <v>77416</v>
      </c>
      <c r="H25">
        <v>115505</v>
      </c>
      <c r="J25" t="s">
        <v>29</v>
      </c>
      <c r="K25">
        <v>132070</v>
      </c>
      <c r="L25">
        <v>57918</v>
      </c>
      <c r="O25" t="s">
        <v>28</v>
      </c>
      <c r="P25" s="7">
        <v>0.36144285807662496</v>
      </c>
      <c r="S25" t="s">
        <v>28</v>
      </c>
      <c r="T25">
        <v>296.61302681992339</v>
      </c>
    </row>
    <row r="26" spans="6:20" x14ac:dyDescent="0.3">
      <c r="F26" s="3" t="s">
        <v>29</v>
      </c>
      <c r="G26">
        <v>57918</v>
      </c>
      <c r="H26">
        <v>158052</v>
      </c>
      <c r="J26" t="s">
        <v>30</v>
      </c>
      <c r="K26">
        <v>128081</v>
      </c>
      <c r="L26">
        <v>75402</v>
      </c>
      <c r="O26" t="s">
        <v>29</v>
      </c>
      <c r="P26" s="7">
        <v>0.19963325773295373</v>
      </c>
      <c r="S26" t="s">
        <v>29</v>
      </c>
      <c r="T26">
        <v>213.71955719557195</v>
      </c>
    </row>
    <row r="27" spans="6:20" x14ac:dyDescent="0.3">
      <c r="F27" s="3" t="s">
        <v>30</v>
      </c>
      <c r="G27">
        <v>75402</v>
      </c>
      <c r="H27">
        <v>114213</v>
      </c>
      <c r="J27" t="s">
        <v>31</v>
      </c>
      <c r="K27">
        <v>135068</v>
      </c>
      <c r="L27">
        <v>42037</v>
      </c>
      <c r="O27" t="s">
        <v>30</v>
      </c>
      <c r="P27" s="7">
        <v>0.31120044243769968</v>
      </c>
      <c r="S27" t="s">
        <v>30</v>
      </c>
      <c r="T27">
        <v>281.35074626865674</v>
      </c>
    </row>
    <row r="28" spans="6:20" x14ac:dyDescent="0.3">
      <c r="F28" s="3" t="s">
        <v>31</v>
      </c>
      <c r="G28">
        <v>42037</v>
      </c>
      <c r="H28">
        <v>103544</v>
      </c>
      <c r="J28" t="s">
        <v>32</v>
      </c>
      <c r="K28">
        <v>144184</v>
      </c>
      <c r="L28">
        <v>40074</v>
      </c>
      <c r="O28" t="s">
        <v>31</v>
      </c>
      <c r="P28" s="7">
        <v>0.1761730340469046</v>
      </c>
      <c r="S28" t="s">
        <v>31</v>
      </c>
      <c r="T28">
        <v>141.53872053872053</v>
      </c>
    </row>
    <row r="29" spans="6:20" x14ac:dyDescent="0.3">
      <c r="F29" s="3" t="s">
        <v>32</v>
      </c>
      <c r="G29">
        <v>40074</v>
      </c>
      <c r="H29">
        <v>112457</v>
      </c>
      <c r="J29" t="s">
        <v>33</v>
      </c>
      <c r="K29">
        <v>82893</v>
      </c>
      <c r="L29">
        <v>46081</v>
      </c>
      <c r="O29" t="s">
        <v>32</v>
      </c>
      <c r="P29" s="7">
        <v>0.1561480823407016</v>
      </c>
      <c r="S29" t="s">
        <v>32</v>
      </c>
      <c r="T29">
        <v>151.79545454545453</v>
      </c>
    </row>
    <row r="30" spans="6:20" x14ac:dyDescent="0.3">
      <c r="F30" s="3" t="s">
        <v>33</v>
      </c>
      <c r="G30">
        <v>46081</v>
      </c>
      <c r="H30">
        <v>112875</v>
      </c>
      <c r="J30" t="s">
        <v>34</v>
      </c>
      <c r="K30">
        <v>111277</v>
      </c>
      <c r="L30">
        <v>71753</v>
      </c>
      <c r="O30" t="s">
        <v>33</v>
      </c>
      <c r="P30" s="7">
        <v>0.23538576273956929</v>
      </c>
      <c r="S30" t="s">
        <v>33</v>
      </c>
      <c r="T30">
        <v>275.93413173652692</v>
      </c>
    </row>
    <row r="31" spans="6:20" x14ac:dyDescent="0.3">
      <c r="F31" s="3" t="s">
        <v>34</v>
      </c>
      <c r="G31">
        <v>71753</v>
      </c>
      <c r="H31">
        <v>123192</v>
      </c>
      <c r="J31" t="s">
        <v>35</v>
      </c>
      <c r="K31">
        <v>77822</v>
      </c>
      <c r="L31">
        <v>70238</v>
      </c>
      <c r="O31" t="s">
        <v>34</v>
      </c>
      <c r="P31" s="7">
        <v>0.3060233975493562</v>
      </c>
      <c r="S31" t="s">
        <v>34</v>
      </c>
      <c r="T31">
        <v>306.63675213675214</v>
      </c>
    </row>
    <row r="32" spans="6:20" x14ac:dyDescent="0.3">
      <c r="F32" s="3" t="s">
        <v>35</v>
      </c>
      <c r="G32">
        <v>70238</v>
      </c>
      <c r="H32">
        <v>137724</v>
      </c>
      <c r="J32" t="s">
        <v>36</v>
      </c>
      <c r="K32">
        <v>116212</v>
      </c>
      <c r="L32">
        <v>67712</v>
      </c>
      <c r="O32" t="s">
        <v>35</v>
      </c>
      <c r="P32" s="7">
        <v>0.32586083712989339</v>
      </c>
      <c r="S32" t="s">
        <v>35</v>
      </c>
      <c r="T32">
        <v>260.14074074074074</v>
      </c>
    </row>
    <row r="33" spans="6:20" x14ac:dyDescent="0.3">
      <c r="F33" s="3" t="s">
        <v>36</v>
      </c>
      <c r="G33">
        <v>67712</v>
      </c>
      <c r="H33">
        <v>119630</v>
      </c>
      <c r="J33" t="s">
        <v>37</v>
      </c>
      <c r="K33">
        <v>99732</v>
      </c>
      <c r="L33">
        <v>79991</v>
      </c>
      <c r="O33" t="s">
        <v>36</v>
      </c>
      <c r="P33" s="7">
        <v>0.28710747025551003</v>
      </c>
      <c r="S33" t="s">
        <v>36</v>
      </c>
      <c r="T33">
        <v>285.70464135021098</v>
      </c>
    </row>
    <row r="34" spans="6:20" x14ac:dyDescent="0.3">
      <c r="F34" s="3" t="s">
        <v>37</v>
      </c>
      <c r="G34">
        <v>79991</v>
      </c>
      <c r="H34">
        <v>110909</v>
      </c>
      <c r="J34" t="s">
        <v>38</v>
      </c>
      <c r="K34">
        <v>131989</v>
      </c>
      <c r="L34">
        <v>72806</v>
      </c>
      <c r="O34" t="s">
        <v>37</v>
      </c>
      <c r="P34" s="7">
        <v>0.37975038097996117</v>
      </c>
      <c r="S34" t="s">
        <v>37</v>
      </c>
      <c r="T34">
        <v>476.13690476190476</v>
      </c>
    </row>
    <row r="35" spans="6:20" x14ac:dyDescent="0.3">
      <c r="F35" s="3" t="s">
        <v>38</v>
      </c>
      <c r="G35">
        <v>72806</v>
      </c>
      <c r="H35">
        <v>147174</v>
      </c>
      <c r="J35" t="s">
        <v>39</v>
      </c>
      <c r="K35">
        <v>101280</v>
      </c>
      <c r="L35">
        <v>56159</v>
      </c>
      <c r="O35" t="s">
        <v>38</v>
      </c>
      <c r="P35" s="7">
        <v>0.26080103738675969</v>
      </c>
      <c r="S35" t="s">
        <v>38</v>
      </c>
      <c r="T35">
        <v>350.02884615384613</v>
      </c>
    </row>
    <row r="36" spans="6:20" x14ac:dyDescent="0.3">
      <c r="F36" s="3" t="s">
        <v>39</v>
      </c>
      <c r="G36">
        <v>56159</v>
      </c>
      <c r="H36">
        <v>133356</v>
      </c>
      <c r="J36" t="s">
        <v>40</v>
      </c>
      <c r="K36">
        <v>88375</v>
      </c>
      <c r="L36">
        <v>62287</v>
      </c>
      <c r="O36" t="s">
        <v>39</v>
      </c>
      <c r="P36" s="7">
        <v>0.23934519852026118</v>
      </c>
      <c r="S36" t="s">
        <v>39</v>
      </c>
      <c r="T36">
        <v>192.98625429553263</v>
      </c>
    </row>
    <row r="37" spans="6:20" x14ac:dyDescent="0.3">
      <c r="F37" s="3" t="s">
        <v>40</v>
      </c>
      <c r="G37">
        <v>62287</v>
      </c>
      <c r="H37">
        <v>136928</v>
      </c>
      <c r="J37" t="s">
        <v>41</v>
      </c>
      <c r="K37">
        <v>130277</v>
      </c>
      <c r="L37">
        <v>69879</v>
      </c>
      <c r="O37" t="s">
        <v>40</v>
      </c>
      <c r="P37" s="7">
        <v>0.27645881324261107</v>
      </c>
      <c r="S37" t="s">
        <v>40</v>
      </c>
      <c r="T37">
        <v>265.05106382978721</v>
      </c>
    </row>
    <row r="38" spans="6:20" x14ac:dyDescent="0.3">
      <c r="F38" s="3" t="s">
        <v>41</v>
      </c>
      <c r="G38">
        <v>69879</v>
      </c>
      <c r="H38">
        <v>171059</v>
      </c>
      <c r="J38" t="s">
        <v>42</v>
      </c>
      <c r="K38">
        <v>98088</v>
      </c>
      <c r="L38">
        <v>63369</v>
      </c>
      <c r="O38" t="s">
        <v>41</v>
      </c>
      <c r="P38" s="7">
        <v>0.23189728409483101</v>
      </c>
      <c r="S38" t="s">
        <v>41</v>
      </c>
      <c r="T38">
        <v>383.95054945054943</v>
      </c>
    </row>
    <row r="39" spans="6:20" x14ac:dyDescent="0.3">
      <c r="F39" s="3" t="s">
        <v>42</v>
      </c>
      <c r="G39">
        <v>63369</v>
      </c>
      <c r="H39">
        <v>126584</v>
      </c>
      <c r="J39" t="s">
        <v>43</v>
      </c>
      <c r="K39">
        <v>131500</v>
      </c>
      <c r="L39">
        <v>62659</v>
      </c>
      <c r="O39" t="s">
        <v>42</v>
      </c>
      <c r="P39" s="7">
        <v>0.28205116792479706</v>
      </c>
      <c r="S39" t="s">
        <v>42</v>
      </c>
      <c r="T39">
        <v>443.13986013986016</v>
      </c>
    </row>
    <row r="40" spans="6:20" x14ac:dyDescent="0.3">
      <c r="F40" s="3" t="s">
        <v>43</v>
      </c>
      <c r="G40">
        <v>62659</v>
      </c>
      <c r="H40">
        <v>166674</v>
      </c>
      <c r="J40" t="s">
        <v>44</v>
      </c>
      <c r="K40">
        <v>70099</v>
      </c>
      <c r="L40">
        <v>79714</v>
      </c>
      <c r="O40" t="s">
        <v>43</v>
      </c>
      <c r="P40" s="7">
        <v>0.21014240007512391</v>
      </c>
      <c r="S40" t="s">
        <v>43</v>
      </c>
      <c r="T40">
        <v>243.80933852140078</v>
      </c>
    </row>
    <row r="41" spans="6:20" x14ac:dyDescent="0.3">
      <c r="F41" s="3" t="s">
        <v>44</v>
      </c>
      <c r="G41">
        <v>79714</v>
      </c>
      <c r="H41">
        <v>149115</v>
      </c>
      <c r="J41" t="s">
        <v>45</v>
      </c>
      <c r="K41">
        <v>115248</v>
      </c>
      <c r="L41">
        <v>50750</v>
      </c>
      <c r="O41" t="s">
        <v>44</v>
      </c>
      <c r="P41" s="7">
        <v>0.36363553422682859</v>
      </c>
      <c r="S41" t="s">
        <v>44</v>
      </c>
      <c r="T41">
        <v>504.51898734177217</v>
      </c>
    </row>
    <row r="42" spans="6:20" x14ac:dyDescent="0.3">
      <c r="F42" s="3" t="s">
        <v>45</v>
      </c>
      <c r="G42">
        <v>50750</v>
      </c>
      <c r="H42">
        <v>162748</v>
      </c>
      <c r="J42" t="s">
        <v>46</v>
      </c>
      <c r="K42">
        <v>122484</v>
      </c>
      <c r="L42">
        <v>65271</v>
      </c>
      <c r="O42" t="s">
        <v>45</v>
      </c>
      <c r="P42" s="7">
        <v>0.18255658354796472</v>
      </c>
      <c r="S42" t="s">
        <v>45</v>
      </c>
      <c r="T42">
        <v>298.52941176470586</v>
      </c>
    </row>
    <row r="43" spans="6:20" x14ac:dyDescent="0.3">
      <c r="F43" s="3" t="s">
        <v>46</v>
      </c>
      <c r="G43">
        <v>65271</v>
      </c>
      <c r="H43">
        <v>163062</v>
      </c>
      <c r="J43" t="s">
        <v>47</v>
      </c>
      <c r="K43">
        <v>80154</v>
      </c>
      <c r="L43">
        <v>79312</v>
      </c>
      <c r="O43" t="s">
        <v>46</v>
      </c>
      <c r="P43" s="7">
        <v>0.22858313546678993</v>
      </c>
      <c r="S43" t="s">
        <v>46</v>
      </c>
      <c r="T43">
        <v>249.12595419847329</v>
      </c>
    </row>
    <row r="44" spans="6:20" x14ac:dyDescent="0.3">
      <c r="F44" s="3" t="s">
        <v>47</v>
      </c>
      <c r="G44">
        <v>79312</v>
      </c>
      <c r="H44">
        <v>199724</v>
      </c>
      <c r="J44" t="s">
        <v>48</v>
      </c>
      <c r="K44">
        <v>142188</v>
      </c>
      <c r="L44">
        <v>54075</v>
      </c>
      <c r="O44" t="s">
        <v>47</v>
      </c>
      <c r="P44" s="7">
        <v>0.28338061583975876</v>
      </c>
      <c r="S44" t="s">
        <v>47</v>
      </c>
      <c r="T44">
        <v>346.34061135371178</v>
      </c>
    </row>
    <row r="45" spans="6:20" x14ac:dyDescent="0.3">
      <c r="F45" s="3" t="s">
        <v>48</v>
      </c>
      <c r="G45">
        <v>54075</v>
      </c>
      <c r="H45">
        <v>189237</v>
      </c>
      <c r="J45" t="s">
        <v>49</v>
      </c>
      <c r="K45">
        <v>145486</v>
      </c>
      <c r="L45">
        <v>64530</v>
      </c>
      <c r="O45" t="s">
        <v>48</v>
      </c>
      <c r="P45" s="7">
        <v>0.1631590857660104</v>
      </c>
      <c r="S45" t="s">
        <v>48</v>
      </c>
      <c r="T45">
        <v>210.40856031128405</v>
      </c>
    </row>
    <row r="46" spans="6:20" x14ac:dyDescent="0.3">
      <c r="F46" s="3" t="s">
        <v>49</v>
      </c>
      <c r="G46">
        <v>64530</v>
      </c>
      <c r="H46">
        <v>169724</v>
      </c>
      <c r="J46" t="s">
        <v>50</v>
      </c>
      <c r="K46">
        <v>110703</v>
      </c>
      <c r="L46">
        <v>60259</v>
      </c>
      <c r="O46" t="s">
        <v>49</v>
      </c>
      <c r="P46" s="7">
        <v>0.20472066241553249</v>
      </c>
      <c r="S46" t="s">
        <v>49</v>
      </c>
      <c r="T46">
        <v>416.32258064516128</v>
      </c>
    </row>
    <row r="47" spans="6:20" x14ac:dyDescent="0.3">
      <c r="F47" s="3" t="s">
        <v>50</v>
      </c>
      <c r="G47">
        <v>60259</v>
      </c>
      <c r="H47">
        <v>175675</v>
      </c>
      <c r="J47" t="s">
        <v>51</v>
      </c>
      <c r="K47">
        <v>129002</v>
      </c>
      <c r="L47">
        <v>53528</v>
      </c>
      <c r="O47" t="s">
        <v>50</v>
      </c>
      <c r="P47" s="7">
        <v>0.21041769968363491</v>
      </c>
      <c r="S47" t="s">
        <v>50</v>
      </c>
      <c r="T47">
        <v>474.48031496062993</v>
      </c>
    </row>
    <row r="48" spans="6:20" x14ac:dyDescent="0.3">
      <c r="F48" s="3" t="s">
        <v>51</v>
      </c>
      <c r="G48">
        <v>53528</v>
      </c>
      <c r="H48">
        <v>194770</v>
      </c>
      <c r="J48" t="s">
        <v>52</v>
      </c>
      <c r="K48">
        <v>100750</v>
      </c>
      <c r="L48">
        <v>59232</v>
      </c>
      <c r="O48" t="s">
        <v>51</v>
      </c>
      <c r="P48" s="7">
        <v>0.1653262172145831</v>
      </c>
      <c r="S48" t="s">
        <v>51</v>
      </c>
      <c r="T48">
        <v>207.47286821705427</v>
      </c>
    </row>
    <row r="49" spans="6:20" x14ac:dyDescent="0.3">
      <c r="F49" s="3" t="s">
        <v>52</v>
      </c>
      <c r="G49">
        <v>59232</v>
      </c>
      <c r="H49">
        <v>198980</v>
      </c>
      <c r="J49" t="s">
        <v>53</v>
      </c>
      <c r="K49">
        <v>90210</v>
      </c>
      <c r="L49">
        <v>41959</v>
      </c>
      <c r="O49" t="s">
        <v>52</v>
      </c>
      <c r="P49" s="7">
        <v>0.19761785607046342</v>
      </c>
      <c r="S49" t="s">
        <v>52</v>
      </c>
      <c r="T49">
        <v>435.52941176470586</v>
      </c>
    </row>
    <row r="50" spans="6:20" x14ac:dyDescent="0.3">
      <c r="F50" s="3" t="s">
        <v>53</v>
      </c>
      <c r="G50">
        <v>41959</v>
      </c>
      <c r="H50">
        <v>198739</v>
      </c>
      <c r="J50" t="s">
        <v>54</v>
      </c>
      <c r="K50">
        <v>111527</v>
      </c>
      <c r="L50">
        <v>53291</v>
      </c>
      <c r="O50" t="s">
        <v>53</v>
      </c>
      <c r="P50" s="7">
        <v>0.14521247694229777</v>
      </c>
      <c r="S50" t="s">
        <v>53</v>
      </c>
      <c r="T50">
        <v>272.46103896103898</v>
      </c>
    </row>
    <row r="51" spans="6:20" x14ac:dyDescent="0.3">
      <c r="F51" s="3" t="s">
        <v>54</v>
      </c>
      <c r="G51">
        <v>53291</v>
      </c>
      <c r="H51">
        <v>184839</v>
      </c>
      <c r="J51" t="s">
        <v>55</v>
      </c>
      <c r="K51">
        <v>98312</v>
      </c>
      <c r="L51">
        <v>70143</v>
      </c>
      <c r="O51" t="s">
        <v>54</v>
      </c>
      <c r="P51" s="7">
        <v>0.17981482356275685</v>
      </c>
      <c r="S51" t="s">
        <v>54</v>
      </c>
      <c r="T51">
        <v>352.92052980132451</v>
      </c>
    </row>
    <row r="52" spans="6:20" x14ac:dyDescent="0.3">
      <c r="F52" s="3" t="s">
        <v>55</v>
      </c>
      <c r="G52">
        <v>70143</v>
      </c>
      <c r="H52">
        <v>182772</v>
      </c>
      <c r="J52" t="s">
        <v>56</v>
      </c>
      <c r="K52">
        <v>127309</v>
      </c>
      <c r="L52">
        <v>58173</v>
      </c>
      <c r="O52" t="s">
        <v>55</v>
      </c>
      <c r="P52" s="7">
        <v>0.24954462011356035</v>
      </c>
      <c r="S52" t="s">
        <v>55</v>
      </c>
      <c r="T52">
        <v>389.68333333333334</v>
      </c>
    </row>
    <row r="53" spans="6:20" x14ac:dyDescent="0.3">
      <c r="F53" s="3" t="s">
        <v>56</v>
      </c>
      <c r="G53">
        <v>58173</v>
      </c>
      <c r="H53">
        <v>143455</v>
      </c>
      <c r="O53" t="s">
        <v>56</v>
      </c>
      <c r="P53" s="7">
        <v>0.21484761637440725</v>
      </c>
      <c r="S53" t="s">
        <v>56</v>
      </c>
      <c r="T53">
        <v>548.80188679245282</v>
      </c>
    </row>
    <row r="54" spans="6:20" x14ac:dyDescent="0.3">
      <c r="F54" s="3" t="s">
        <v>57</v>
      </c>
      <c r="G54">
        <v>2990601</v>
      </c>
      <c r="H54">
        <v>7333224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76AFA-8998-4B71-B140-372598ADBEAF}">
  <dimension ref="A1"/>
  <sheetViews>
    <sheetView workbookViewId="0">
      <selection activeCell="I20" sqref="I20"/>
    </sheetView>
  </sheetViews>
  <sheetFormatPr defaultRowHeight="14.4" x14ac:dyDescent="0.3"/>
  <cols>
    <col min="1" max="8" width="8.88671875" style="6"/>
    <col min="9" max="10" width="8.88671875" style="6" customWidth="1"/>
    <col min="1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4303-CC52-4121-A952-6022F233DCF4}">
  <dimension ref="A2:I52"/>
  <sheetViews>
    <sheetView tabSelected="1" workbookViewId="0">
      <selection activeCell="D3" sqref="D3"/>
    </sheetView>
  </sheetViews>
  <sheetFormatPr defaultRowHeight="14.4" x14ac:dyDescent="0.3"/>
  <cols>
    <col min="1" max="1" width="14" bestFit="1" customWidth="1"/>
    <col min="2" max="2" width="6.77734375" bestFit="1" customWidth="1"/>
    <col min="4" max="4" width="19.5546875" bestFit="1" customWidth="1"/>
    <col min="5" max="6" width="23.6640625" bestFit="1" customWidth="1"/>
    <col min="7" max="7" width="3" bestFit="1" customWidth="1"/>
    <col min="8" max="8" width="12.5546875" bestFit="1" customWidth="1"/>
    <col min="9" max="9" width="17" bestFit="1" customWidth="1"/>
    <col min="10" max="30" width="3" bestFit="1" customWidth="1"/>
    <col min="31" max="31" width="10.77734375" bestFit="1" customWidth="1"/>
  </cols>
  <sheetData>
    <row r="2" spans="1:9" x14ac:dyDescent="0.3">
      <c r="A2" s="2" t="s">
        <v>0</v>
      </c>
      <c r="B2" t="s">
        <v>69</v>
      </c>
      <c r="H2" s="2" t="s">
        <v>58</v>
      </c>
      <c r="I2" t="s">
        <v>63</v>
      </c>
    </row>
    <row r="3" spans="1:9" x14ac:dyDescent="0.3">
      <c r="A3" t="s">
        <v>7</v>
      </c>
      <c r="B3" s="4">
        <v>28.050380477564946</v>
      </c>
      <c r="D3" s="2" t="s">
        <v>3</v>
      </c>
      <c r="E3" t="s">
        <v>59</v>
      </c>
      <c r="H3" s="3">
        <v>20</v>
      </c>
      <c r="I3" s="9">
        <v>79312</v>
      </c>
    </row>
    <row r="4" spans="1:9" x14ac:dyDescent="0.3">
      <c r="A4" t="s">
        <v>8</v>
      </c>
      <c r="B4" s="4">
        <v>23.625095103489258</v>
      </c>
      <c r="D4">
        <v>3</v>
      </c>
      <c r="E4" s="9">
        <v>877063</v>
      </c>
      <c r="H4" s="3">
        <v>26</v>
      </c>
      <c r="I4" s="9">
        <v>56159</v>
      </c>
    </row>
    <row r="5" spans="1:9" x14ac:dyDescent="0.3">
      <c r="A5" t="s">
        <v>9</v>
      </c>
      <c r="B5" s="4">
        <v>40.867486792309663</v>
      </c>
      <c r="D5">
        <v>4</v>
      </c>
      <c r="E5" s="9">
        <v>607622</v>
      </c>
      <c r="H5" s="3">
        <v>27</v>
      </c>
      <c r="I5" s="9">
        <v>175083</v>
      </c>
    </row>
    <row r="6" spans="1:9" x14ac:dyDescent="0.3">
      <c r="A6" t="s">
        <v>10</v>
      </c>
      <c r="B6" s="4">
        <v>27.189756482591282</v>
      </c>
      <c r="D6">
        <v>5</v>
      </c>
      <c r="E6" s="9">
        <v>1086805</v>
      </c>
      <c r="H6" s="3">
        <v>28</v>
      </c>
      <c r="I6" s="9">
        <v>122703</v>
      </c>
    </row>
    <row r="7" spans="1:9" x14ac:dyDescent="0.3">
      <c r="A7" t="s">
        <v>11</v>
      </c>
      <c r="B7" s="4">
        <v>50.140984010851255</v>
      </c>
      <c r="D7">
        <v>6</v>
      </c>
      <c r="E7" s="9">
        <v>810871</v>
      </c>
      <c r="H7" s="3">
        <v>29</v>
      </c>
      <c r="I7" s="9">
        <v>109530</v>
      </c>
    </row>
    <row r="8" spans="1:9" x14ac:dyDescent="0.3">
      <c r="A8" t="s">
        <v>12</v>
      </c>
      <c r="B8" s="4">
        <v>41.667455643710589</v>
      </c>
      <c r="D8">
        <v>7</v>
      </c>
      <c r="E8" s="9">
        <v>1082741</v>
      </c>
      <c r="H8" s="3">
        <v>30</v>
      </c>
      <c r="I8" s="9">
        <v>53291</v>
      </c>
    </row>
    <row r="9" spans="1:9" x14ac:dyDescent="0.3">
      <c r="A9" t="s">
        <v>13</v>
      </c>
      <c r="B9" s="4">
        <v>33.041351534565948</v>
      </c>
      <c r="D9">
        <v>8</v>
      </c>
      <c r="E9" s="9">
        <v>857484</v>
      </c>
      <c r="H9" s="3">
        <v>31</v>
      </c>
      <c r="I9" s="9">
        <v>177181</v>
      </c>
    </row>
    <row r="10" spans="1:9" x14ac:dyDescent="0.3">
      <c r="A10" t="s">
        <v>14</v>
      </c>
      <c r="B10" s="4">
        <v>55.940829144603029</v>
      </c>
      <c r="D10">
        <v>9</v>
      </c>
      <c r="E10" s="9">
        <v>951315</v>
      </c>
      <c r="H10" s="3">
        <v>32</v>
      </c>
      <c r="I10" s="9">
        <v>190867</v>
      </c>
    </row>
    <row r="11" spans="1:9" x14ac:dyDescent="0.3">
      <c r="A11" t="s">
        <v>15</v>
      </c>
      <c r="B11" s="4">
        <v>37.681814222880284</v>
      </c>
      <c r="D11">
        <v>10</v>
      </c>
      <c r="E11" s="9">
        <v>1059323</v>
      </c>
      <c r="H11" s="3">
        <v>33</v>
      </c>
      <c r="I11" s="9">
        <v>72806</v>
      </c>
    </row>
    <row r="12" spans="1:9" x14ac:dyDescent="0.3">
      <c r="A12" t="s">
        <v>16</v>
      </c>
      <c r="B12" s="4">
        <v>44.092696580976423</v>
      </c>
      <c r="H12" s="3">
        <v>35</v>
      </c>
      <c r="I12" s="9">
        <v>48731</v>
      </c>
    </row>
    <row r="13" spans="1:9" x14ac:dyDescent="0.3">
      <c r="A13" t="s">
        <v>17</v>
      </c>
      <c r="B13" s="4">
        <v>45.145077989902092</v>
      </c>
      <c r="H13" s="3">
        <v>36</v>
      </c>
      <c r="I13" s="9">
        <v>242816</v>
      </c>
    </row>
    <row r="14" spans="1:9" x14ac:dyDescent="0.3">
      <c r="A14" t="s">
        <v>18</v>
      </c>
      <c r="B14" s="4">
        <v>44.804040710922074</v>
      </c>
      <c r="H14" s="3">
        <v>37</v>
      </c>
      <c r="I14" s="9">
        <v>230856</v>
      </c>
    </row>
    <row r="15" spans="1:9" x14ac:dyDescent="0.3">
      <c r="A15" t="s">
        <v>19</v>
      </c>
      <c r="B15" s="4">
        <v>60.592515902959597</v>
      </c>
      <c r="H15" s="3">
        <v>38</v>
      </c>
      <c r="I15" s="9">
        <v>47036</v>
      </c>
    </row>
    <row r="16" spans="1:9" x14ac:dyDescent="0.3">
      <c r="A16" t="s">
        <v>20</v>
      </c>
      <c r="B16" s="4">
        <v>34.61527929901424</v>
      </c>
      <c r="H16" s="3">
        <v>40</v>
      </c>
      <c r="I16" s="9">
        <v>59713</v>
      </c>
    </row>
    <row r="17" spans="1:9" x14ac:dyDescent="0.3">
      <c r="A17" t="s">
        <v>21</v>
      </c>
      <c r="B17" s="4">
        <v>30.279490243873582</v>
      </c>
      <c r="H17" s="3">
        <v>41</v>
      </c>
      <c r="I17" s="9">
        <v>179671</v>
      </c>
    </row>
    <row r="18" spans="1:9" x14ac:dyDescent="0.3">
      <c r="A18" t="s">
        <v>22</v>
      </c>
      <c r="B18" s="4">
        <v>69.580612392976349</v>
      </c>
      <c r="H18" s="3">
        <v>42</v>
      </c>
      <c r="I18" s="9">
        <v>100282</v>
      </c>
    </row>
    <row r="19" spans="1:9" x14ac:dyDescent="0.3">
      <c r="A19" t="s">
        <v>23</v>
      </c>
      <c r="B19" s="4">
        <v>37.988883431948054</v>
      </c>
      <c r="H19" s="3">
        <v>43</v>
      </c>
      <c r="I19" s="9">
        <v>317644</v>
      </c>
    </row>
    <row r="20" spans="1:9" x14ac:dyDescent="0.3">
      <c r="A20" t="s">
        <v>24</v>
      </c>
      <c r="B20" s="4">
        <v>47.250319878287108</v>
      </c>
      <c r="H20" s="3">
        <v>44</v>
      </c>
      <c r="I20" s="9">
        <v>194966</v>
      </c>
    </row>
    <row r="21" spans="1:9" x14ac:dyDescent="0.3">
      <c r="A21" t="s">
        <v>25</v>
      </c>
      <c r="B21" s="4">
        <v>26.211593814847046</v>
      </c>
      <c r="H21" s="3">
        <v>45</v>
      </c>
      <c r="I21" s="9">
        <v>194548</v>
      </c>
    </row>
    <row r="22" spans="1:9" x14ac:dyDescent="0.3">
      <c r="A22" t="s">
        <v>26</v>
      </c>
      <c r="B22" s="4">
        <v>58.072438687573204</v>
      </c>
      <c r="H22" s="3">
        <v>48</v>
      </c>
      <c r="I22" s="9">
        <v>162531</v>
      </c>
    </row>
    <row r="23" spans="1:9" x14ac:dyDescent="0.3">
      <c r="A23" t="s">
        <v>27</v>
      </c>
      <c r="B23" s="4">
        <v>52.26886784194955</v>
      </c>
      <c r="H23" s="3">
        <v>49</v>
      </c>
      <c r="I23" s="9">
        <v>71922</v>
      </c>
    </row>
    <row r="24" spans="1:9" x14ac:dyDescent="0.3">
      <c r="A24" t="s">
        <v>28</v>
      </c>
      <c r="B24" s="4">
        <v>67.023938357646855</v>
      </c>
      <c r="H24" s="3">
        <v>50</v>
      </c>
      <c r="I24" s="9">
        <v>102953</v>
      </c>
    </row>
    <row r="25" spans="1:9" x14ac:dyDescent="0.3">
      <c r="A25" t="s">
        <v>29</v>
      </c>
      <c r="B25" s="4">
        <v>36.644901677928779</v>
      </c>
      <c r="H25" s="3" t="s">
        <v>57</v>
      </c>
      <c r="I25" s="9">
        <v>2990601</v>
      </c>
    </row>
    <row r="26" spans="1:9" x14ac:dyDescent="0.3">
      <c r="A26" t="s">
        <v>30</v>
      </c>
      <c r="B26" s="4">
        <v>66.018754432507691</v>
      </c>
    </row>
    <row r="27" spans="1:9" x14ac:dyDescent="0.3">
      <c r="A27" t="s">
        <v>31</v>
      </c>
      <c r="B27" s="4">
        <v>40.598199799119215</v>
      </c>
    </row>
    <row r="28" spans="1:9" x14ac:dyDescent="0.3">
      <c r="A28" t="s">
        <v>32</v>
      </c>
      <c r="B28" s="4">
        <v>35.634953804565299</v>
      </c>
    </row>
    <row r="29" spans="1:9" x14ac:dyDescent="0.3">
      <c r="A29" t="s">
        <v>33</v>
      </c>
      <c r="B29" s="4">
        <v>40.824806201550388</v>
      </c>
    </row>
    <row r="30" spans="1:9" x14ac:dyDescent="0.3">
      <c r="A30" t="s">
        <v>34</v>
      </c>
      <c r="B30" s="4">
        <v>58.244853561919605</v>
      </c>
    </row>
    <row r="31" spans="1:9" x14ac:dyDescent="0.3">
      <c r="A31" t="s">
        <v>35</v>
      </c>
      <c r="B31" s="4">
        <v>50.999099648572511</v>
      </c>
    </row>
    <row r="32" spans="1:9" x14ac:dyDescent="0.3">
      <c r="A32" t="s">
        <v>36</v>
      </c>
      <c r="B32" s="4">
        <v>56.601186993229128</v>
      </c>
    </row>
    <row r="33" spans="1:2" x14ac:dyDescent="0.3">
      <c r="A33" t="s">
        <v>37</v>
      </c>
      <c r="B33" s="4">
        <v>72.123091904173691</v>
      </c>
    </row>
    <row r="34" spans="1:2" x14ac:dyDescent="0.3">
      <c r="A34" t="s">
        <v>38</v>
      </c>
      <c r="B34" s="4">
        <v>49.469335616345276</v>
      </c>
    </row>
    <row r="35" spans="1:2" x14ac:dyDescent="0.3">
      <c r="A35" t="s">
        <v>39</v>
      </c>
      <c r="B35" s="4">
        <v>42.112090944539425</v>
      </c>
    </row>
    <row r="36" spans="1:2" x14ac:dyDescent="0.3">
      <c r="A36" t="s">
        <v>40</v>
      </c>
      <c r="B36" s="4">
        <v>45.488870063098858</v>
      </c>
    </row>
    <row r="37" spans="1:2" x14ac:dyDescent="0.3">
      <c r="A37" t="s">
        <v>41</v>
      </c>
      <c r="B37" s="4">
        <v>40.850817554177219</v>
      </c>
    </row>
    <row r="38" spans="1:2" x14ac:dyDescent="0.3">
      <c r="A38" t="s">
        <v>42</v>
      </c>
      <c r="B38" s="4">
        <v>50.060829172723253</v>
      </c>
    </row>
    <row r="39" spans="1:2" x14ac:dyDescent="0.3">
      <c r="A39" t="s">
        <v>43</v>
      </c>
      <c r="B39" s="4">
        <v>37.593745875181497</v>
      </c>
    </row>
    <row r="40" spans="1:2" x14ac:dyDescent="0.3">
      <c r="A40" t="s">
        <v>44</v>
      </c>
      <c r="B40" s="4">
        <v>53.458069275391473</v>
      </c>
    </row>
    <row r="41" spans="1:2" x14ac:dyDescent="0.3">
      <c r="A41" t="s">
        <v>45</v>
      </c>
      <c r="B41" s="4">
        <v>31.183178902352104</v>
      </c>
    </row>
    <row r="42" spans="1:2" x14ac:dyDescent="0.3">
      <c r="A42" t="s">
        <v>46</v>
      </c>
      <c r="B42" s="4">
        <v>40.028332781396031</v>
      </c>
    </row>
    <row r="43" spans="1:2" x14ac:dyDescent="0.3">
      <c r="A43" t="s">
        <v>47</v>
      </c>
      <c r="B43" s="4">
        <v>39.710800905249243</v>
      </c>
    </row>
    <row r="44" spans="1:2" x14ac:dyDescent="0.3">
      <c r="A44" t="s">
        <v>48</v>
      </c>
      <c r="B44" s="4">
        <v>28.575278618874744</v>
      </c>
    </row>
    <row r="45" spans="1:2" x14ac:dyDescent="0.3">
      <c r="A45" t="s">
        <v>49</v>
      </c>
      <c r="B45" s="4">
        <v>38.020551012231621</v>
      </c>
    </row>
    <row r="46" spans="1:2" x14ac:dyDescent="0.3">
      <c r="A46" t="s">
        <v>50</v>
      </c>
      <c r="B46" s="4">
        <v>34.301408851572504</v>
      </c>
    </row>
    <row r="47" spans="1:2" x14ac:dyDescent="0.3">
      <c r="A47" t="s">
        <v>51</v>
      </c>
      <c r="B47" s="4">
        <v>27.482671869384401</v>
      </c>
    </row>
    <row r="48" spans="1:2" x14ac:dyDescent="0.3">
      <c r="A48" t="s">
        <v>52</v>
      </c>
      <c r="B48" s="4">
        <v>29.76781586089054</v>
      </c>
    </row>
    <row r="49" spans="1:2" x14ac:dyDescent="0.3">
      <c r="A49" t="s">
        <v>53</v>
      </c>
      <c r="B49" s="4">
        <v>21.112615037813416</v>
      </c>
    </row>
    <row r="50" spans="1:2" x14ac:dyDescent="0.3">
      <c r="A50" t="s">
        <v>54</v>
      </c>
      <c r="B50" s="4">
        <v>28.83103674008191</v>
      </c>
    </row>
    <row r="51" spans="1:2" x14ac:dyDescent="0.3">
      <c r="A51" t="s">
        <v>55</v>
      </c>
      <c r="B51" s="4">
        <v>38.377322565819711</v>
      </c>
    </row>
    <row r="52" spans="1:2" x14ac:dyDescent="0.3">
      <c r="A52" t="s">
        <v>56</v>
      </c>
      <c r="B52" s="4">
        <v>40.551392422710954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0C98-785D-43CE-B9F0-8FCCFEFF5B81}">
  <dimension ref="A1"/>
  <sheetViews>
    <sheetView workbookViewId="0">
      <selection activeCell="A19" sqref="A19"/>
    </sheetView>
  </sheetViews>
  <sheetFormatPr defaultRowHeight="14.4" x14ac:dyDescent="0.3"/>
  <cols>
    <col min="1" max="16384" width="8.8867187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2E0C25-4B27-4177-9E36-769A6128D1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vt:lpstr>
      <vt:lpstr>Dashboard</vt:lpstr>
      <vt:lpstr>Pivot 2</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Ojewale</dc:creator>
  <cp:lastModifiedBy>John Ojewale</cp:lastModifiedBy>
  <cp:lastPrinted>2025-04-27T14:35:31Z</cp:lastPrinted>
  <dcterms:created xsi:type="dcterms:W3CDTF">2024-12-18T12:03:45Z</dcterms:created>
  <dcterms:modified xsi:type="dcterms:W3CDTF">2025-05-06T13:07:01Z</dcterms:modified>
</cp:coreProperties>
</file>